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user\AUDITORSEMI\webapp\templates\"/>
    </mc:Choice>
  </mc:AlternateContent>
  <xr:revisionPtr revIDLastSave="0" documentId="8_{05387270-1B4B-4D64-9EA3-2679C69A2745}" xr6:coauthVersionLast="47" xr6:coauthVersionMax="47" xr10:uidLastSave="{00000000-0000-0000-0000-000000000000}"/>
  <bookViews>
    <workbookView xWindow="-110" yWindow="-110" windowWidth="19420" windowHeight="10300" tabRatio="573" xr2:uid="{00000000-000D-0000-FFFF-FFFF00000000}"/>
  </bookViews>
  <sheets>
    <sheet name="Mandatory ISMS requirements" sheetId="2" r:id="rId1"/>
    <sheet name="Annex A controls" sheetId="3" r:id="rId2"/>
    <sheet name="Metrics" sheetId="5" r:id="rId3"/>
  </sheets>
  <definedNames>
    <definedName name="__xlnm._FilterDatabase" localSheetId="1">'Annex A controls'!$A$2:$E$99</definedName>
    <definedName name="__xlnm._FilterDatabase_1">'Annex A controls'!$A$2:$E$99</definedName>
    <definedName name="__xlnm.Print_Titles" localSheetId="1">'Annex A controls'!$A$2:$IQ$2</definedName>
    <definedName name="Applicability">Metrics!$B$14:$B$16</definedName>
    <definedName name="_xlnm.Print_Area" localSheetId="1">'Annex A controls'!$B$1:$E$100</definedName>
    <definedName name="_xlnm.Print_Area" localSheetId="0">'Mandatory ISMS requirements'!$B$1:$E$61</definedName>
    <definedName name="_xlnm.Print_Area" localSheetId="2">Metrics!$B$2:$O$36</definedName>
    <definedName name="CMM">#REF!</definedName>
    <definedName name="ControlTotal">'Annex A controls'!$D$100</definedName>
    <definedName name="Excel_BuiltIn_Print_Area" localSheetId="0">'Mandatory ISMS requirements'!$B$1:$E$60</definedName>
    <definedName name="Excel_BuiltIn_Print_Titles" localSheetId="1">'Annex A controls'!$A$2:$IQ$2</definedName>
    <definedName name="_xlnm.Print_Titles" localSheetId="1">'Annex A controls'!$1:$2</definedName>
    <definedName name="_xlnm.Print_Titles" localSheetId="0">'Mandatory ISMS requirements'!$1:$2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0" i="3" l="1"/>
  <c r="E9" i="5" s="1"/>
  <c r="D61" i="2"/>
  <c r="D10" i="5" s="1"/>
  <c r="D4" i="5" l="1"/>
  <c r="D6" i="5"/>
  <c r="D5" i="5"/>
  <c r="D7" i="5"/>
  <c r="D3" i="5"/>
  <c r="D8" i="5"/>
  <c r="D9" i="5"/>
  <c r="E4" i="5"/>
  <c r="E6" i="5"/>
  <c r="E10" i="5"/>
  <c r="E3" i="5"/>
  <c r="E5" i="5"/>
  <c r="E7" i="5"/>
  <c r="E8" i="5"/>
  <c r="A64" i="2"/>
  <c r="A65" i="2"/>
  <c r="A66" i="2"/>
  <c r="A67" i="2"/>
  <c r="A68" i="2"/>
  <c r="A69" i="2"/>
  <c r="A70" i="2"/>
  <c r="A71" i="2"/>
  <c r="E11" i="5" l="1"/>
  <c r="A72" i="2"/>
  <c r="D11"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Gary@isect.com</author>
  </authors>
  <commentList>
    <comment ref="C2" authorId="0" shapeId="0" xr:uid="{00000000-0006-0000-0100-000001000000}">
      <text>
        <r>
          <rPr>
            <b/>
            <sz val="9"/>
            <color indexed="81"/>
            <rFont val="Tahoma"/>
            <family val="2"/>
          </rPr>
          <t xml:space="preserve">Gary@isect.com: </t>
        </r>
        <r>
          <rPr>
            <sz val="9"/>
            <color indexed="81"/>
            <rFont val="Tahoma"/>
            <family val="2"/>
          </rPr>
          <t xml:space="preserve">The wording here paraphrases the standard: refer to the standard for the official wording and additional explanations
</t>
        </r>
      </text>
    </comment>
    <comment ref="D2" authorId="0" shapeId="0" xr:uid="{00000000-0006-0000-0100-000002000000}">
      <text>
        <r>
          <rPr>
            <b/>
            <sz val="9"/>
            <color indexed="81"/>
            <rFont val="Tahoma"/>
            <family val="2"/>
          </rPr>
          <t xml:space="preserve">Gary@isect.com: </t>
        </r>
        <r>
          <rPr>
            <sz val="9"/>
            <color indexed="81"/>
            <rFont val="Tahoma"/>
            <family val="2"/>
          </rPr>
          <t>Use this column to record your progress towards implementing the ISMS.  See the metrics sheet for explanations of the levels</t>
        </r>
      </text>
    </comment>
    <comment ref="E2" authorId="0" shapeId="0" xr:uid="{00000000-0006-0000-0100-000003000000}">
      <text>
        <r>
          <rPr>
            <b/>
            <sz val="9"/>
            <color indexed="81"/>
            <rFont val="Tahoma"/>
            <family val="2"/>
          </rPr>
          <t>Gary@isect.com:</t>
        </r>
        <r>
          <rPr>
            <sz val="9"/>
            <color indexed="81"/>
            <rFont val="Tahoma"/>
            <family val="2"/>
          </rPr>
          <t xml:space="preserve">
Keep notes on the process, including references to any documentation that the auditors will probably want to check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200-000001000000}">
      <text>
        <r>
          <rPr>
            <b/>
            <sz val="14"/>
            <color indexed="8"/>
            <rFont val="Tahoma"/>
            <family val="2"/>
          </rPr>
          <t>Select from drop down box</t>
        </r>
      </text>
    </comment>
  </commentList>
</comments>
</file>

<file path=xl/sharedStrings.xml><?xml version="1.0" encoding="utf-8"?>
<sst xmlns="http://schemas.openxmlformats.org/spreadsheetml/2006/main" count="535" uniqueCount="398">
  <si>
    <t>Status</t>
  </si>
  <si>
    <t>4.2 (a)</t>
  </si>
  <si>
    <t>4.2 (b)</t>
  </si>
  <si>
    <t>Leadership</t>
  </si>
  <si>
    <t>6.1.1</t>
  </si>
  <si>
    <t>6.1.2</t>
  </si>
  <si>
    <t>6.1.3</t>
  </si>
  <si>
    <t>Meaning</t>
  </si>
  <si>
    <t>Initial</t>
  </si>
  <si>
    <t>Limited</t>
  </si>
  <si>
    <t>Defined</t>
  </si>
  <si>
    <t>Managed</t>
  </si>
  <si>
    <t>Optimized</t>
  </si>
  <si>
    <t>Total</t>
  </si>
  <si>
    <t>Nonexistent</t>
  </si>
  <si>
    <t>Notes</t>
  </si>
  <si>
    <t>Not applicable</t>
  </si>
  <si>
    <t xml:space="preserve"> ISMS</t>
  </si>
  <si>
    <t>7.5.1</t>
  </si>
  <si>
    <t>7.5.2</t>
  </si>
  <si>
    <t>7.5.3</t>
  </si>
  <si>
    <r>
      <t xml:space="preserve">Complete lack of recognizable policy, procedure, control </t>
    </r>
    <r>
      <rPr>
        <i/>
        <sz val="9"/>
        <rFont val="Calibri"/>
        <family val="2"/>
        <scheme val="minor"/>
      </rPr>
      <t>etc.</t>
    </r>
  </si>
  <si>
    <t>Development has barely started and will require significant work to fulfill the requirements</t>
  </si>
  <si>
    <t>Progressing nicely but not yet complete</t>
  </si>
  <si>
    <t>Development is more or less complete although detail is lacking and/or it is not yet implemented, enforced and actively supported by top management</t>
  </si>
  <si>
    <t>Has not even been checked yet</t>
  </si>
  <si>
    <t>Section</t>
  </si>
  <si>
    <t>Development is complete, the process/control has been implemented and recently started operating</t>
  </si>
  <si>
    <t>The requirement is fully satisfied, is operating fully as expected, is being actively monitored and improved, and there is substantial evidence to prove all that to the auditors</t>
  </si>
  <si>
    <t>ALL requirements in the main body of ISO/IEC 27001 are mandatory IF your ISMS is to be certified.  Otherwise, managemnent can ignore them.</t>
  </si>
  <si>
    <t>? Unknown</t>
  </si>
  <si>
    <t>Number of requirements</t>
  </si>
  <si>
    <t>A5</t>
  </si>
  <si>
    <t>A6</t>
  </si>
  <si>
    <t>A7</t>
  </si>
  <si>
    <t>A8</t>
  </si>
  <si>
    <t>Status of ISO/IEC 27001 implementation</t>
  </si>
  <si>
    <t>Information security control</t>
  </si>
  <si>
    <t>Statement of Applicability and status of information security controls</t>
  </si>
  <si>
    <t>Proportion of ISMS requirements</t>
  </si>
  <si>
    <t>Proportion of information security controls</t>
  </si>
  <si>
    <t>Number of controls</t>
  </si>
  <si>
    <t>Organizational controls</t>
  </si>
  <si>
    <t>People controls</t>
  </si>
  <si>
    <t>Physical controls</t>
  </si>
  <si>
    <t>Technological controls</t>
  </si>
  <si>
    <t>A.5.1</t>
  </si>
  <si>
    <t>A.5.2</t>
  </si>
  <si>
    <t>A.5.3</t>
  </si>
  <si>
    <t>A.5.4</t>
  </si>
  <si>
    <t>A.5.5</t>
  </si>
  <si>
    <t>A.5.6</t>
  </si>
  <si>
    <t>A.5.7</t>
  </si>
  <si>
    <t>A.5.8</t>
  </si>
  <si>
    <t>A.5.9</t>
  </si>
  <si>
    <t>A.5.10</t>
  </si>
  <si>
    <t>A.5.11</t>
  </si>
  <si>
    <t>A.5.12</t>
  </si>
  <si>
    <t>A.5.13</t>
  </si>
  <si>
    <t>A.5.14</t>
  </si>
  <si>
    <t>A.5.15</t>
  </si>
  <si>
    <t>A.5.16</t>
  </si>
  <si>
    <t>A.5.17</t>
  </si>
  <si>
    <t>A.5.18</t>
  </si>
  <si>
    <t>A.5.19</t>
  </si>
  <si>
    <t>A.5.20</t>
  </si>
  <si>
    <t>A.5.21</t>
  </si>
  <si>
    <t>A.5.22</t>
  </si>
  <si>
    <t>A.5.23</t>
  </si>
  <si>
    <t>A.5.24</t>
  </si>
  <si>
    <t>A.5.25</t>
  </si>
  <si>
    <t>A.5.26</t>
  </si>
  <si>
    <t>A.5.27</t>
  </si>
  <si>
    <t>A.5.28</t>
  </si>
  <si>
    <t>A.5.29</t>
  </si>
  <si>
    <t>A.5.30</t>
  </si>
  <si>
    <t>A.5.31</t>
  </si>
  <si>
    <t>A.5.32</t>
  </si>
  <si>
    <t>A.5.33</t>
  </si>
  <si>
    <t>A.5.34</t>
  </si>
  <si>
    <t>A.5.35</t>
  </si>
  <si>
    <t>A.5.36</t>
  </si>
  <si>
    <t>A.5.37</t>
  </si>
  <si>
    <t>A.6.1</t>
  </si>
  <si>
    <t>A.6.2</t>
  </si>
  <si>
    <t>A.6.3</t>
  </si>
  <si>
    <t>A.6.4</t>
  </si>
  <si>
    <t>A.6.5</t>
  </si>
  <si>
    <t>A.6.6</t>
  </si>
  <si>
    <t>A.6.7</t>
  </si>
  <si>
    <t>A.6.8</t>
  </si>
  <si>
    <t>A.7.14</t>
  </si>
  <si>
    <t>A.7.13</t>
  </si>
  <si>
    <t>A.7.12</t>
  </si>
  <si>
    <t>A.7.11</t>
  </si>
  <si>
    <t>A.7.10</t>
  </si>
  <si>
    <t>A.7.9</t>
  </si>
  <si>
    <t>A.7.8</t>
  </si>
  <si>
    <t>A.7.7</t>
  </si>
  <si>
    <t>A.7.6</t>
  </si>
  <si>
    <t>A.7.5</t>
  </si>
  <si>
    <t>A.7.4</t>
  </si>
  <si>
    <t>A.7.3</t>
  </si>
  <si>
    <t>A.7.2</t>
  </si>
  <si>
    <t>A.7.1</t>
  </si>
  <si>
    <t>A.8.1</t>
  </si>
  <si>
    <t>A.8.2</t>
  </si>
  <si>
    <t>A.8.3</t>
  </si>
  <si>
    <t>A.8.4</t>
  </si>
  <si>
    <t>A.8.5</t>
  </si>
  <si>
    <t>A.8.6</t>
  </si>
  <si>
    <t>A.8.7</t>
  </si>
  <si>
    <t>A.8.8</t>
  </si>
  <si>
    <t>A.8.9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</si>
  <si>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</si>
  <si>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</si>
  <si>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</si>
  <si>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</si>
  <si>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</si>
  <si>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</si>
  <si>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</si>
  <si>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</si>
  <si>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</si>
  <si>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</si>
  <si>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</si>
  <si>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</si>
  <si>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</si>
  <si>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</si>
  <si>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</si>
  <si>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</si>
  <si>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</si>
  <si>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</si>
  <si>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</si>
  <si>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</si>
  <si>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</si>
  <si>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</si>
  <si>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</si>
  <si>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</si>
  <si>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</si>
  <si>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Stabilire, implementare, mantenere e migliorare continuamente un ISMS secondo lo standard!</t>
  </si>
  <si>
    <t>Contesto dell'organizzazione</t>
  </si>
  <si>
    <t xml:space="preserve">Politiche per la sicurezza delle informazioni </t>
  </si>
  <si>
    <t xml:space="preserve">Riesame delle Politiche per la sicurezza delle informazioni </t>
  </si>
  <si>
    <t>Segregazione dei compiti e le aree di responsabilità in conflitto.</t>
  </si>
  <si>
    <t>Richiesta della direzione al personale ad applicare la sicurezza delle informazioni in conformità con la politica di sicurezza delle informazioni stabilita</t>
  </si>
  <si>
    <t>Stabilire e mantenere i contatti con le autorità competenti</t>
  </si>
  <si>
    <t>Stabilire e mantenere contatti con gruppi di interesse speciale o altri forum specialistici sulla sicurezza e associazioni professionali.</t>
  </si>
  <si>
    <t>Raccolta e analisi delle informazioni relative alla minacce della sicurezza</t>
  </si>
  <si>
    <t>Integrazione della sicurezza delle informazioni integrata nella gestione del progetto</t>
  </si>
  <si>
    <t>Sviluppare e mantenere un inventario delle informazioni e delle altre risorse associate, compresi i proprietari</t>
  </si>
  <si>
    <t>Devono essere identificate, documentate e attuate regole per l'uso accettabile e le procedure per la gestione delle risorse informatiche e di altri beni associati</t>
  </si>
  <si>
    <t>Se devono restituire tutti i beni dell'organizzazione in loro possesso al momento della modifica o della cessazione del loro impiego, contratto o accordo</t>
  </si>
  <si>
    <t>Classifica delle informazioni in base alle esigenze di sicurezza delle informazioni dell'organizzazione sulla riservatezza, integrità, disponibilità e requisiti delle parti interessate</t>
  </si>
  <si>
    <t>Sviluppo delle etichettatura delle informazioni e implemento in conformità con lo schema di classificazione</t>
  </si>
  <si>
    <t>Devono essere in vigore le regole, le procedure o gli accordi per il trasferimento delle informazioni per tutti i tipi di strutture di trasferimento all'interno dell'organizzazione e tra l'organizzazione e altre parti</t>
  </si>
  <si>
    <t>Devono essere stabilite e implementate in base ai requisiti di sicurezza dell'azienda e delle informazioni le regole per controllare l'accesso fisico e logico alle informazioni</t>
  </si>
  <si>
    <t>L'intero ciclo delle identità sarà gestito</t>
  </si>
  <si>
    <t>Le informazioni di autenticazione devono essere controllate da un processo di gestione, che comprenda la consulenza al personale sul trattamento appropriato delle informazioni di autenticazione</t>
  </si>
  <si>
    <r>
      <t>Devono essere assegnati, rivisti, modificati e rimossi in conformità alla politica specifica dell'organizzazione</t>
    </r>
    <r>
      <rPr>
        <sz val="12"/>
        <rFont val="Arial"/>
        <family val="2"/>
      </rPr>
      <t xml:space="preserve"> </t>
    </r>
    <r>
      <rPr>
        <sz val="9"/>
        <rFont val="Calibri"/>
        <family val="2"/>
      </rPr>
      <t>i diritti di accesso alle informazioni e alle altre risorse associate</t>
    </r>
  </si>
  <si>
    <r>
      <t>Devono essere definiti</t>
    </r>
    <r>
      <rPr>
        <sz val="12"/>
        <rFont val="Arial"/>
        <family val="2"/>
      </rPr>
      <t xml:space="preserve"> </t>
    </r>
    <r>
      <rPr>
        <sz val="9"/>
        <rFont val="Calibri"/>
        <family val="2"/>
      </rPr>
      <t>i processi e le procedure per gestire i rischi per la sicurezza delle informazioni associati all'uso dei prodotti o dei servizi del fornitore</t>
    </r>
  </si>
  <si>
    <r>
      <t>Devono essere stabiliti e concordati</t>
    </r>
    <r>
      <rPr>
        <sz val="12"/>
        <rFont val="Arial"/>
        <family val="2"/>
      </rPr>
      <t xml:space="preserve"> </t>
    </r>
    <r>
      <rPr>
        <sz val="9"/>
        <rFont val="Calibri"/>
        <family val="2"/>
      </rPr>
      <t>i requisiti di sicurezza delle informazioni pertinenti in base al tipo di rapporto di fornitura</t>
    </r>
  </si>
  <si>
    <t>Vengono definiti e attuati processi e procedure per gestire i rischi per la sicurezza delle informazioni associati alla catena di fornitura di prodotti e servizi TIC</t>
  </si>
  <si>
    <t>Se deve monitorare, rivedere, valutare e gestire regolarmente le modifiche alle pratiche di sicurezza delle informazioni e alla fornitura di servizi da parte dei fornitori</t>
  </si>
  <si>
    <t>Devono essere stabiliti in conformità ai requisiti di sicurezza delle informazioni i processi per l'acquisizione, l'uso, la gestione e l'uscita dai servizi cloud</t>
  </si>
  <si>
    <t>Se deve pianificare e preparare la gestione degli incidenti di sicurezza delle informazioni definendo, stabilendo e comunicando i processi</t>
  </si>
  <si>
    <t>Se deve valutare gli eventi relativi alla sicurezza delle informazioni e decidere se devono essere classificati come incidenti di sicurezza delle informazioni</t>
  </si>
  <si>
    <t>Devono essere affrontati gli incidenti di sicurezza delle informazioni in conformità con le procedure documentate</t>
  </si>
  <si>
    <t xml:space="preserve">Devono essere utilizzate le conoscenze acquisite dagli incidenti di sicurezza delle info. per rafforzare e migliorare i controlli </t>
  </si>
  <si>
    <t>Se deve stabilire e implementare procedure per l'identificazione, la raccolta, l'acquisizione e la conservazione delle prove relative agli eventi di sicurezza delle info.</t>
  </si>
  <si>
    <t>Se deve pianificare come mantenere la sicurezza delle info. a un livello appropriato durante le interruzioni</t>
  </si>
  <si>
    <t>La TIC deve essere pianificata, implementata e mantenuta e testata sulla base degli obiettivi di continuità operativa e dei requisiti di continuità della TLC</t>
  </si>
  <si>
    <t>Devono essere identificati, documentati e aggiornati i requisiti legali, normativi, regolamentari e contrattuali relativi alla sicurezza della info.</t>
  </si>
  <si>
    <t>Se deve implementare procedure appropriate per proteggere i diritti di proprietà intellettuale</t>
  </si>
  <si>
    <t>Devono essere protetti i registri da perdita, distruzione, falsificazione, accesso non autorizzato e rilascio non autorizzato</t>
  </si>
  <si>
    <t>Se deve identificare e soddisfare i requisiti relativi alla conservazione della privacy e alla protezione delle PII in base alle leggi e ai regolamenti applicabili e ai requisiti contrattuali</t>
  </si>
  <si>
    <t>Devono essere rivisti in modo indipendente a intervalli pianificati o quando si verificano cambiamenti significativi l'approccio dell'organizzazione alla gestione della sicurezza</t>
  </si>
  <si>
    <t>Conformità alla politica di sicurezza delle info. , politiche specifiche dell'azienda, alle regole e agli standard deve essere verificata regolarmente</t>
  </si>
  <si>
    <t>Devono essere documentate e rese disponibili al personale che ne ha bisogno le procedure operativi per le strutture di elaborazione delle info.</t>
  </si>
  <si>
    <t>Sezione</t>
  </si>
  <si>
    <t>ISO/IEC 27001 requisiti</t>
  </si>
  <si>
    <t>Devono essere effettuati prima dell'ingresso nell'organizzazione tenendo in conto delle leggi, dei regolamenti e dell'etica applicabili e devono essere proporzionati ai requisiti aziendali, alla classificazione delle informazioni a cui si deve accedere e ai rischi</t>
  </si>
  <si>
    <t>Gli accordi contrattuali di lavoro devono indicare le responsabilità del personale e dell'organizzazione in materia di sicurezza informatica dell'organizzazione in materia di sicurezza informatica</t>
  </si>
  <si>
    <t>Il personale dell'organizzazione e le parti interessate devono ricevere un'adeguata sensibilizzazione, istruzione e formazione in materia di sicurezza delle informazioni</t>
  </si>
  <si>
    <t>Deve essere formalizzato e comunicato un processo disciplinare per intraprendere azioni contro il personale e le altre parti interessate che hanno commesso una violazione della politica di sicurezza delle informazioni</t>
  </si>
  <si>
    <t>Le responsabilità e i doveri in materia di sicurezza delle informazioni che rimangono validi anche dopo la cessazione o il cambiamento del rapporto di lavoro devono essere definiti, applicati e comunicati al personale interessato e alle altre parti coinvolte</t>
  </si>
  <si>
    <t>Gli accordi di riservatezza o di non divulgazione che riflettono le esigenze dell'organizzazione in materia di protezione delle informazioni devono essere identificati, documentati, regolarmente rivisti e firmati dal personale e dalle altre parti interessate</t>
  </si>
  <si>
    <t>Le misure di sicurezza devono essere implementate quando il personale lavora a distanza per proteggere le informazioni a cui si accede, che vengono elaborate o archiviate al di fuori dei locali dell'organizzazione</t>
  </si>
  <si>
    <t>L'organizzazione deve fornire un meccanismo che consenta al personale di segnalare tempestivamente eventi di sicurezza delle informazioni osservati o sospetti attraverso i canali appropria</t>
  </si>
  <si>
    <t>Le aree sicure devono essere protette da controlli e punti di accesso adeguati</t>
  </si>
  <si>
    <t>La sicurezza fisica di uffici, stanze e strutture deve essere progettata e implementata</t>
  </si>
  <si>
    <t>Locali dovranno essere costantemente monitorati per individuare eventuali</t>
  </si>
  <si>
    <t>La protezione contro le minacce fisiche e ambientali, come le catastrofi naturali e altre minacce fisiche intenzionali o non intenzionali alle infrastrutture, deve essere progettata e implementata</t>
  </si>
  <si>
    <t>Devono essere progettate e attuate misure di sicurezza per lavorare in aree sicure</t>
  </si>
  <si>
    <t>Devono essere definite e fatte rispettare regole chiare sulla scrivania per i documenti e i supporti di memorizzazione rimovibili e regole chiare sullo schermo per le strutture di elaborazione delle informazioni</t>
  </si>
  <si>
    <t>Le apparecchiature devono essere posizionate in modo sicuro e protetto</t>
  </si>
  <si>
    <t>I beni fuori sede devono essere protetti</t>
  </si>
  <si>
    <t>I supporti di memorizzazione devono essere gestiti durante il loro ciclo di vita di acquisizione, uso, trasporto e smaltimento in conformità allo schema di classificazione e ai requisiti di gestione dell'organizzazione</t>
  </si>
  <si>
    <t>I  perimetri di sicurezza devono essere definiti e utilizzati per proteggere le aree che contengono informazioni e altri beni associati</t>
  </si>
  <si>
    <t>Utilità di supporto</t>
  </si>
  <si>
    <t>Sicurezza del cablaggio</t>
  </si>
  <si>
    <t>Manutenzione dell'attrezzatura</t>
  </si>
  <si>
    <t>Smaltimento sicuro o riutilizzo delle attrezzature</t>
  </si>
  <si>
    <t>Le informazioni memorizzate, elaborate o accessibili tramite dispositivi "end point" dell'utente devono essere protette</t>
  </si>
  <si>
    <t>L'assegnazione e l'uso dei diritti di accesso privilegiato devono essere limitati e gestiti</t>
  </si>
  <si>
    <t>L'accesso alle informazioni e alle altre risorse associate deve essere limitato in conformità alla politica specifica per argomento stabilita e al controllo degli accessi</t>
  </si>
  <si>
    <t>L'accesso in lettura e scrittura al codice sorgente, agli strumenti di sviluppo e alle librerie software deve essere gestito in modo appropriato</t>
  </si>
  <si>
    <t>Le tecnologie e le procedure di autenticazione sicura devono essere implementate in base alle limitazioni di accesso alle informazioni e alla politica specifica dell'argomento sui contrai di accesso</t>
  </si>
  <si>
    <t>L'uso delle risorse deve essere monitorato e adattato in linea con i requisiti di capacità attuali e previsti</t>
  </si>
  <si>
    <t>La protezione contro le minacce informatiche deve essere implementata e supportata da un'adeguata sensibilizzazione degli utenti</t>
  </si>
  <si>
    <t>Devono essere ottenute informazioni sulle vulnerabilità tecniche dei sistemi informativi in uso, deve essere valutata l'esposizione dell'organizzazione a tali vulnerabilità e devono essere adottate misure appropriate</t>
  </si>
  <si>
    <t>Le configurazioni, comprese quelle di sicurezza, di hardware, software, servizi e reti devono essere stabilite, documentate, implementate, monitorate e riviste</t>
  </si>
  <si>
    <t>Le informazioni memorizzate nei sistemi informativi, nei dispositivi o in qualsiasi altro supporto di memorizzazione devono essere cancellate quando non sono più necessarie</t>
  </si>
  <si>
    <t>La mascheratura dei dati deve essere utilizzata in conformità con la politica specifica dell'organizzazione in materia di accesso e con altre politiche specifiche in materia, nonché con i requisiti aziendali, tenendo in considerazione la legislazione applicabile</t>
  </si>
  <si>
    <t>Le misure di prevenzione della fuga di dati devono essere applicate ai sistemi, alle reti e a qualsiasi altro dispositivo che elabora, fissa o trasmette informazioni sensibili</t>
  </si>
  <si>
    <t>Le copie di backup delle informazioni, del software e dei sistemi devono essere mantenute e testate regolarmente in conformità con la politica concordata per argomenti specifici sul backup</t>
  </si>
  <si>
    <t>Le strutture di elaborazione delle informazioni devono essere implementate con una ridondanza sufficiente a soddisfare i requisiti di disponibilità</t>
  </si>
  <si>
    <t>I registri che registrano attività, eccezioni, guasti e altri eventi rilevanti devono essere prodotti, archiviati, protetti e analizzati</t>
  </si>
  <si>
    <t>Le reti, i sistemi e le applicazioni devono essere monitorati per rilevare comportamenti anomali e devono essere intraprese azioni appropriate per valutare potenziali incidenti di sicurezza delle informazioni</t>
  </si>
  <si>
    <t>Gli orologi dei sistemi di elaborazione delle informazioni utilizzati dall'organizzazione devono essere sincronizzati con fonti di tempo approvate</t>
  </si>
  <si>
    <t>L'uso di programmi di utilità che possono scavalcare i controlli del sistema e dell'applicazione deve essere limitato e strettamente controllato</t>
  </si>
  <si>
    <t>Devono essere implementate procedure e misure per gestire in modo sicuro l'installazione del software nei sistemi operativi</t>
  </si>
  <si>
    <t>Le reti e i dispositivi di rete devono essere protetti, gestiti e controllati per proteggere le informazioni nei sistemi e nelle applicazioni</t>
  </si>
  <si>
    <t>I meccanismi di sicurezza, i livelli di servizio e i requisiti di servizio dei servizi di rete devono essere identificati, implementati e monitorati</t>
  </si>
  <si>
    <t>I gruppi di servizi informativi, gli utenti e i sistemi informativi devono essere segregati nelle reti dell'organizzazione</t>
  </si>
  <si>
    <t>L'accesso a siti web esterni deve essere gestito per ridurre l'esposizione a contenuti dannosi</t>
  </si>
  <si>
    <t>Devono essere definite e attuate regole per l'uso efficace della crittografia, compresa la gestione delle chiavi crittografiche</t>
  </si>
  <si>
    <t>Devono essere stabilite e applicate regole per lo sviluppo sicuro di software e sistemi</t>
  </si>
  <si>
    <t>I requisiti di sicurezza delle informazioni devono essere identificati, specificati e approvati quando si sviluppano o si acquisiscono applicazioni</t>
  </si>
  <si>
    <t>I principi per la progettazione di sistemi sicuri devono essere stabiliti, documentati, mantenuti e applicati a tutte le attività di sviluppo di sistemi informativi</t>
  </si>
  <si>
    <t>I principi di codifica sicura devono essere applicati allo sviluppo del software</t>
  </si>
  <si>
    <t>I processi di verifica della sicurezza devono essere definiti e implementati nel ciclo di vita dello sviluppo.</t>
  </si>
  <si>
    <t>L'organizzazione deve dirigere, monitorare e rivedere le attività relative allo sviluppo di sistemi in outsourcing</t>
  </si>
  <si>
    <t>Gli ambienti di sviluppo, test e produzione devono essere separati e protetti</t>
  </si>
  <si>
    <t>Le modifiche alle strutture di elaborazione delle informazioni e ai sistemi informativi sono soggette a procedure di gestione delle modifiche</t>
  </si>
  <si>
    <t>Le informazioni di prova devono essere selezionate, protette e gestite in modo appropriato</t>
  </si>
  <si>
    <t>I test di audit e le altre attività di "assurance" che comportano la valutazione dei sistemi operativi devono essere pianificati e concordati tra il tester e la direzione competente.</t>
  </si>
  <si>
    <t>Determinare gli obiettivi ISMS dell'organizzazione e tutti i problemi che potrebbero influenzare la sua efficacia</t>
  </si>
  <si>
    <t>Parti interessate</t>
  </si>
  <si>
    <t>Identificare le parti interessate tra cui leggi, regolamenti, contratti, ecc.</t>
  </si>
  <si>
    <t>Determinare i requisiti e gli obblighi relativi alla sicurezza delle informazion</t>
  </si>
  <si>
    <t>Ambito ISMS</t>
  </si>
  <si>
    <t>Determinare e documentare l'ambito ISMS</t>
  </si>
  <si>
    <t>Leadership e impegno</t>
  </si>
  <si>
    <t xml:space="preserve">Il top management deve dimostrare leadership e impegno nei confronti </t>
  </si>
  <si>
    <t>Polizza</t>
  </si>
  <si>
    <t>Definire la politica di sicurezza dell'informazione</t>
  </si>
  <si>
    <t>Ruoli, responsabilità e autorità organizzative</t>
  </si>
  <si>
    <t>Assegnare e comunicare i ruoli e le responsabilità della sicurezza delle informazioni</t>
  </si>
  <si>
    <t>Azioni per affrontare rischi e opportunità</t>
  </si>
  <si>
    <t>Pianificazione</t>
  </si>
  <si>
    <t>Progettare/pianificare l'ISMS per soddisfare i requisiti, affrontare rischi e opportunità</t>
  </si>
  <si>
    <t>Definire e applicare un processo di valutazione del rischio per la sicurezza delle informazioni</t>
  </si>
  <si>
    <t xml:space="preserve">Documentare e applicare un processo di trattamento del rischio di sicurezza delle informazioni </t>
  </si>
  <si>
    <t xml:space="preserve">Stabilire e documentare gli obiettivi e i piani di sicurezza delle informazioni </t>
  </si>
  <si>
    <t>Pianificazione dei cambiamenti</t>
  </si>
  <si>
    <t>Le modifiche sostanziali all'ISMS sono effettuate in modo pianificato</t>
  </si>
  <si>
    <t>Supporto</t>
  </si>
  <si>
    <t>Risorse</t>
  </si>
  <si>
    <t>Competenze</t>
  </si>
  <si>
    <t>Determinare e assegnare le risorse necessarie per l'ISMS</t>
  </si>
  <si>
    <t>Determinare, documentare e rendere disponibili le competenze necessari</t>
  </si>
  <si>
    <t>Consapevolezza</t>
  </si>
  <si>
    <t>Stabilire un programma di sensibilizzazione sulla sicurezza</t>
  </si>
  <si>
    <t>Comunicazione</t>
  </si>
  <si>
    <t>Determinare la necessità di comunicazioni interne ed esterne rilevanti per l'ISMS</t>
  </si>
  <si>
    <t>Fornire la documentazione richiesta dallo standard più quella richiesta dall'organizzazione</t>
  </si>
  <si>
    <t>Fornire titoli di documenti, autori ecc., formattarli in modo coerente e rivederli e approvarli</t>
  </si>
  <si>
    <t>Controllare correttamente la documentazione</t>
  </si>
  <si>
    <t>Operazione</t>
  </si>
  <si>
    <t>Pianificazione e controllo operativo</t>
  </si>
  <si>
    <t>Pianificare, implementare, controllare e documentare i processi ISMS per gestire i rischi (i.e. un piano di trattamento dei rischi)</t>
  </si>
  <si>
    <t>Valutazione del rischio per la sicurezza delle informazioni</t>
  </si>
  <si>
    <t xml:space="preserve">(Ri) valutare e documentare i rischi per la sicurezza delle informazioni regolarmente e sulle modifiche </t>
  </si>
  <si>
    <t>Trattamento del rischio per la sicurezza dell'informazione</t>
  </si>
  <si>
    <t>Implementare il piano di trattamento dei rischi (trattare i rischi!) e documentare i risultati
Valutazione delle prestazioni</t>
  </si>
  <si>
    <t>Valutazione delle prestazioni</t>
  </si>
  <si>
    <t>Monitoraggio, misurazione, analisi e valutazione</t>
  </si>
  <si>
    <t>Monitorare, misurare, analizzare e valutare l'ISMS e i controlli</t>
  </si>
  <si>
    <t>Audit interno</t>
  </si>
  <si>
    <t>Pianificare e condurre audit interni dell'ISMS</t>
  </si>
  <si>
    <t>Riesame della gestione</t>
  </si>
  <si>
    <t>Effettuare regolari revisioni gestionali dell'ISMS</t>
  </si>
  <si>
    <t>Miglioramento</t>
  </si>
  <si>
    <t>Miglioramento continuo</t>
  </si>
  <si>
    <t>Non conformità e azioni correttive</t>
  </si>
  <si>
    <t>Identificare, correggere e agire per prevenire il ripetersi di non conformità, documentando le azioni</t>
  </si>
  <si>
    <t>miglioramento</t>
  </si>
  <si>
    <t>Obiettivi e piani di sicurezza dell'informazione</t>
  </si>
  <si>
    <t>informazioni documentate</t>
  </si>
  <si>
    <t>Le informazioni memorizzate, trattate o accessibili tramite i dispositivi finali dell'utente sono protette</t>
  </si>
  <si>
    <t>Definite procedure di gestione della privacy e delle password</t>
  </si>
  <si>
    <t>L'assegnazione e l'uso dei diritti di accesso privilegiato sono limitati e gestiti</t>
  </si>
  <si>
    <t>Nessun accesso allo staff dei codici sorgente degli applicativi</t>
  </si>
  <si>
    <t>Definite procedure di gestione delle password</t>
  </si>
  <si>
    <t>Valutazione delle competenze eseguita in fase di qualificazione dei fornitori esterni; Valutazione delle competenze eseguita in fase di assunzione del personale; Rivalutazione delle competenze effettuata in fase di Audit Interno e Riesame della</t>
  </si>
  <si>
    <t>Sono presenti, su tutti i client di rete e server, sistemi firewall e sistemi antivirus per la protezione da virus e malware</t>
  </si>
  <si>
    <t>Controlli periodici sulla vulnerabilità tecnica</t>
  </si>
  <si>
    <t>Attuate procedure di gestione dell'installazione nuovi software</t>
  </si>
  <si>
    <t>Le informazioni conservate nei sistemi di informazione, nei dispositivi o in qualsiasi altro supporto di memorizzazione sono cancellate quando non sono più necessarie</t>
  </si>
  <si>
    <t>Il mascheramento dei dati deve essere utilizzato in conformità con la politica specifica dell'organizzazione sul controllo degli accessi e altre politiche specifiche per argomento correlate e i requisiti aziendali, tenendo in considerazione la legislazione applicabile</t>
  </si>
  <si>
    <t>Le misure di prevenzione della fuga di dati sono applicate ai sistemi, alle reti e a qualsiasi altro dispositivo che elabora, memorizza o trasmette informazioni sensibili</t>
  </si>
  <si>
    <t>Vengono eseguiti back up giornalieri su server digitale</t>
  </si>
  <si>
    <t>Le strutture sono idonee e sufficienti in relazione alle finalità di operazione di elaborazione</t>
  </si>
  <si>
    <t>Consultazione costante dei log tramite piattaforma Microsoft</t>
  </si>
  <si>
    <t>Le reti, i sistemi e le applicazioni sono monitorati per individuare comportamenti anomali e devono essere adottate le misure appropriate per valutare potenziali incidenti di sicurezza delle informazioni</t>
  </si>
  <si>
    <t>Tutti i sistemi comunicano con lo stesso server, pertanto tutti sincronizzati</t>
  </si>
  <si>
    <t>Gestione dei programmi e delle VPN attraverso credenziali di accesso specifiche; Definizione di procedure di gestione e controllo password e credenziali di accesso</t>
  </si>
  <si>
    <t>Accesso alla rete protetto con password</t>
  </si>
  <si>
    <t>I meccanismi di sicurezza, i livelli di servizio e i requisiti di servizio dei servizi di rete sono individuati, attuati e monitorati</t>
  </si>
  <si>
    <t>L'accesso a siti web esterni è gestito in modo da ridurre l'esposizione a contenuti dannosi</t>
  </si>
  <si>
    <t>Definita Istruzione Operativa per la gestione della crittografia</t>
  </si>
  <si>
    <t>Devono essere stabilite e applicate norme per lo sviluppo sicuro di software e sistemi</t>
  </si>
  <si>
    <t>I requisiti di sicurezza delle informazioni sono individuati, specificati e approvati al momento dello sviluppo o dell'acquisizione delle applicazioni</t>
  </si>
  <si>
    <t>Applicazione di standard UML per la documentazione delle modifiche</t>
  </si>
  <si>
    <t>Eseguiti test di sicurezza tramite metodi black/white box, UECT e SECT</t>
  </si>
  <si>
    <t>L'azienda valuta costantemente i fornitori di servizi e fornisce loro le informazioni minime riguardo le pratiche di gestione richieste</t>
  </si>
  <si>
    <t>In quanto attività unipersonale, gli ambienti di lavoro virtuale sono separati per quanto necessario, al fine di limitare accessi non autorizzati dall'esterno</t>
  </si>
  <si>
    <t>Le modifiche alle strutture e ai sistemi di elaborazione delle informazioni sono soggette a procedure di gestione delle modifiche</t>
  </si>
  <si>
    <t>Campionamento dei dati per i test, gli stessi sono crittografati</t>
  </si>
  <si>
    <t>Le prove di audit e le altre attività di garanzia che comportano la valutazione dei sistemi operativi devono essere pianificate e concordate tra il tester e la direzione appropriata</t>
  </si>
  <si>
    <t>L'azienda si avvale di server in cloud</t>
  </si>
  <si>
    <t>Tutte le aree di lavoro sono delimitate con misure fisiche</t>
  </si>
  <si>
    <t>La sicurezza fisica degli uffici, dei locali e delle strutture è progettata e attuata</t>
  </si>
  <si>
    <t>tutta la documentazione è in formato digitale, eseguiti back up periodici, definita una policy di restore dei dati</t>
  </si>
  <si>
    <t>Adottate Istruzioni per la gestione delle attrezzature informatiche con politica di schermo e scrivania puliti</t>
  </si>
  <si>
    <t>Tutte le aree di lavoro sono delimitate con misure fisiche; sono state predisposte istruzioni per la gestione degli accessi dall'esterno; sono state predisposte procedure e istruzioni per la gestione degli accessi non autorizzati e la gestione delle credenziali di accesso ai sistemi</t>
  </si>
  <si>
    <t>Applicazione di istruzioni di sicurezza per la gestione e il trasferimento all'esterno degli assett</t>
  </si>
  <si>
    <t>Definito apposito regolamento sulle modalità di gestione dei supporti rimovibili. Lo stesso è reso disponibile per la consultazione a tutti gli impiegati</t>
  </si>
  <si>
    <t>Server online</t>
  </si>
  <si>
    <t>Sono utilizzate le infrastrutture della compagnia telefonica ed elettrica a cui l'azienda ha deciso di affidarsi</t>
  </si>
  <si>
    <t>Eseguite manutenzioni sulle apparechhiature da parte dei fornitori aziendali</t>
  </si>
  <si>
    <t>Applicate procedure in caso di dismissione di apparecchiature informatiche</t>
  </si>
  <si>
    <t>Prevista specifica procedura per la valutazione dei possibili candidati all'assunzione e dei possibili collaboratori/fornitori esterni</t>
  </si>
  <si>
    <t>L'azienda applica le condizioni previste da CCNL</t>
  </si>
  <si>
    <t>Esecuzione di formazione sulla norma e sulle procedure ed istruzioni interne al nuovo personale entrante, informazione al personale esterno sulle procedure e sulla gestione delle attività per la sicurezza delle informazioni</t>
  </si>
  <si>
    <t>Si applica quanto definito a livello contrattuale</t>
  </si>
  <si>
    <t>Definite procedure di gestione della privacy e sulla cessazione del rapporto di lavoro</t>
  </si>
  <si>
    <t>Definiti accordi di riservatezza e di non divulgazione</t>
  </si>
  <si>
    <t>E' stata definita un'apposita istruzione operativa per la gestione dei dispositivi portatili in luoghi diversi dalla sede operativa aziendale, ai fini della sicurezza delle informazioni</t>
  </si>
  <si>
    <t>In caso di anomalie e/o incidenti la segnalazione viene fatta direttamente dalla Direzione e al Responsabile di sistema</t>
  </si>
  <si>
    <t>Definita politica ed istruzioni sulla gestione della sicurezza delle informazioni</t>
  </si>
  <si>
    <t>Definiti ruoli e responsabilità aziendali per la sicurezza delle informazioni. Essendo azienda unipersonale, non è stato elaborato organigramma. Tuttavia sono state definite le responsabilità a livello di Procedure e Istruzioni Operative</t>
  </si>
  <si>
    <t>Ruoli e responsabilità aziendali sono state definite per la sicurezza delle informazioni e la gestione di password e accessi.</t>
  </si>
  <si>
    <t>Le politiche sono riesaminate in occasione del riesame della direzione</t>
  </si>
  <si>
    <t>I rapporti con le autorità sono mantenuti dalla stessa Direzione.</t>
  </si>
  <si>
    <t>La Direzione manitene contatti con gruppi di specialisti esterni all'azienda, sia come partner che per una semplice consultazione e approfondimento teorico e normativo.</t>
  </si>
  <si>
    <t>Le informazioni relative alle minacce alla sicurezza delle informazioni sono raccolte e analizzate al fine di produrre informazioni sulle minacce</t>
  </si>
  <si>
    <t>La società garantisce la sicurezza delle informazioni relative alle attività di progettazione</t>
  </si>
  <si>
    <t>E' stata definita un'apposita istruzione operativa per la gestione dei dispositivi portatili in luoghi diversi dalla sede operativa aziendale, ai fini della sicurezza delle informazioni.</t>
  </si>
  <si>
    <t>La Direzione ha preso in carico la corretta gestione dell'applicazione delle procedure e delle istruzioni operative presso il personale aziendale e i collaboratori esterni.</t>
  </si>
  <si>
    <t>Deve essere attuato un processo formale per l'assegnazione o la revoca dei diritti di accesso per tutte le tipologie di utenze e per tutti i sistemi e servizi.</t>
  </si>
  <si>
    <t>Deve essere attuato un processo formale di registrazione e de-registrazione per abilitare l'assegnazione dei diritti di accesso.</t>
  </si>
  <si>
    <t>L'assegnazione di informazioni segrete di autenticazione deve essere controllata attraverso un processo di gestione formale.</t>
  </si>
  <si>
    <t>l diritti di accesso di tutto il personale e degli utenti di parti esterne a informazioni e strutture di elaborazione delle informazioni devono essere rimossi al momento della cessazione del rapporto di lavoro, del contratto o accordo, oppure adattate ad ogni variazione.</t>
  </si>
  <si>
    <t>Definite procedure di gestione dei fornitori</t>
  </si>
  <si>
    <t>Accordi stabiliti a livello contrattuale</t>
  </si>
  <si>
    <t>Valutazione eseguita in fase di audit e riesame</t>
  </si>
  <si>
    <t>Non vengono effettuati collegamenti su reti pubbliche. La gestione della crittografia dei dati è disciplinata da apposita Istruzione Operativa</t>
  </si>
  <si>
    <t>Definite procedure per la gestione degli incidenti</t>
  </si>
  <si>
    <t>In caso di eventi relativi la sicurezza delle informazioni viene eseguita una valutazione dello stesso da parte della Direzione</t>
  </si>
  <si>
    <t>La Direzione è incaricata di rispondere all'evento</t>
  </si>
  <si>
    <t>Registrazione degli incidenti/Non Conformità</t>
  </si>
  <si>
    <t>L'organizzazione deve pianificare come mantenere la sicurezza delle informazioni a un livello appropriato durante le interruzioni</t>
  </si>
  <si>
    <t>La predisposizione alle TIC è pianificata, attuata, mantenuta e testata sulla base degli obiettivi di continuità operativa e dei requisiti di continuità delle TIC</t>
  </si>
  <si>
    <t>Individuati e mantenuti tutti i requisiti cogenti e contrattuali</t>
  </si>
  <si>
    <t>Definite procedure di gestione delle informazioni documentate, in relazione alle indicazioni dei clienti aziendali</t>
  </si>
  <si>
    <t>Definizione di procedure e istruzioni operative per la gestione e protezione delle informazioni documentate</t>
  </si>
  <si>
    <t>Applicazione del regolamento della privacy n. 679/16</t>
  </si>
  <si>
    <t>Eseguiti riesami della direzione ad intervalli pianificati</t>
  </si>
  <si>
    <t>Implementazione e definizione di sistema di gestione delle informazioni, completo di procedure, istruzioni operative e relativa modulistica. Le procedure sono disponibili al personale aziendale. Vengono gestite le informazioni inviate al personale esterno all'azienda</t>
  </si>
  <si>
    <t>Visto Elenco documentazione esterna (ISO 27001:2017, d.LGS 196/2003; gdpr 2016/679;  d.LGS 231/2001; Linee Guida dell'OCSE sulla sicurezza dei sistemi e delle reti d'informazione; D.lgs 81/2008).</t>
  </si>
  <si>
    <t xml:space="preserve">L'azienda ha deciso di valutare la rilevanza del cambiamento climatico per il proprio Sistema di Gestione, in ottemperanza alle nuove direttive emanate a febbraio 2024 e ha seguito un approccio strutturato per determinare la rilevanza del cambiamento climatico, basandosi sui seguenti passaggi:
2.1 Identificazione dei rischi e delle opportunità:
•Aumento dei costi energetici dovuto all'incremento del prezzo delle fonti fossili.
•Interruzioni della catena di approvvigionamento causate da eventi meteorologici estremi.
•Crescente domanda da parte dei clienti di prodotti ecocompatibili.
•Possibilità di sviluppare nuovi prodotti e servizi eco-sostenibili.
Pertanto l'azienda ha analizzato il proprio consumo energetico storico e le proiezioni future dei costi energetici, ha valutato la frequenza e la gravità degli eventi meteorologici estremi nella sua regione, ha condotto un'indagine tra i clienti per comprendere le loro aspettative in materia di sostenibilità
3. Risultati della valutazione
Il cambiamento climatico è stato ritenuto una questione rilevante per il Sistema di Gestione ISO dell’azienda per le seguenti ragioni:
•L'impatto potenziale sui costi energetici e sulla catena di approvvigionamento potrebbe avere un impatto significativo sulla redditività e sulla continuità operativa dell'azienda.
•Le normative ambientali e di sicurezza più rigorose potrebbero richiedere all’azienda di investire in tecnologie a basse emissioni di carbonio e di implementare pratiche più sostenibili.
4. Azioni intraprese
•Ridurre le emissioni di gas serra relativi ai propri prodotti / servizi
•Aumentare l'utilizzo di energie rinnovabili.
{{iso27001_4_1}}             </t>
  </si>
  <si>
    <t xml:space="preserve">
Il cambiamento climatico può avere un impatto significativo sulle parti interessate dell’azienda in diversi modi:
•	Clienti: Il cambiamento climatico potrebbe portare a una maggiore richiesta di prodotti ecocompatibili da parte dei clienti, il che potrebbe aumentare le vendite dell’azienda. Tuttavia, potrebbe anche portare a un aumento dei costi di produzione, il che potrebbe ridurre i profitti dell'azienda.
•	Investitori: Gli investitori potrebbero essere più propensi a investire in aziende che sono impegnate nella lotta contro il cambiamento climatico. Tuttavia, potrebbero anche essere più restii a investire in aziende che sono vulnerabili agli impatti del cambiamento climatico.
•	Dipendenti: Il cambiamento climatico potrebbe portare a condizioni meteorologiche più estreme, che potrebbero mettere a rischio la sicurezza dei dipendenti. Inoltre, potrebbe portare a una diminuzione della domanda di prodotti / servizi dell’azienda il che potrebbe portare a licenziamenti.
•	Comunità locali: Il cambiamento climatico potrebbe portare a eventi meteorologici estremi, come inondazioni o siccità, che potrebbero danneggiare le proprietà e le infrastrutture delle comunità locali. Inoltre, potrebbe portare a una diminuzione della qualità dell'aria e dell'acqua, il che potrebbe avere un impatto negativo sulla salute delle persone.
•	Fornitori: Il cambiamento climatico potrebbe interrompere le catene di approvvigionamento dell’azienda, il che potrebbe portare a una carenza di materie prime e componenti. Inoltre, potrebbe aumentare i costi di trasporto, il che potrebbe ridurre i profitti dell'azienda.
•	Autorità pubbliche: Le autorità pubbliche potrebbero imporre nuove normative ambientali e di sicurezza più rigorose, il che potrebbe aumentare i costi dell'azienda. Inoltre, potrebbero sanzionare l'azienda se non rispetta le normative ambientali e di sicurezza
{{iso27001_4_2}}</t>
  </si>
  <si>
    <t>{{iso27001_5_2}}</t>
  </si>
  <si>
    <t xml:space="preserve">{{iso27001_4_4}} 
</t>
  </si>
  <si>
    <t xml:space="preserve">{{iso27001_4_3}}
</t>
  </si>
  <si>
    <t>{{iso27001_5_3}}</t>
  </si>
  <si>
    <t>{{iso27001_6_1_1}}</t>
  </si>
  <si>
    <t>{{iso27001_6_1_2}}</t>
  </si>
  <si>
    <t>{{iso27001_6_1_3}}</t>
  </si>
  <si>
    <t>{{iso27001_6_2}}</t>
  </si>
  <si>
    <t>{{iso27001_6_3}}</t>
  </si>
  <si>
    <t>{{iso27001_7_1}}</t>
  </si>
  <si>
    <t>{{iso27001_7_2}}</t>
  </si>
  <si>
    <t>{{iso27001_7_3}}</t>
  </si>
  <si>
    <t>{{iso27001_7_4}}</t>
  </si>
  <si>
    <t>{{iso27001_7_5_1}}</t>
  </si>
  <si>
    <t>{{iso27001_7_5_2}}</t>
  </si>
  <si>
    <t>{{iso27001_7_5_3}}</t>
  </si>
  <si>
    <t>{{iso27001_8_1}}</t>
  </si>
  <si>
    <t>{{iso27001_8_2}}</t>
  </si>
  <si>
    <t>{{iso27001_8_3}}</t>
  </si>
  <si>
    <t>{{iso27001_9_1}}</t>
  </si>
  <si>
    <t>{{iso27001_9_2}}</t>
  </si>
  <si>
    <t>{{iso27001_9_3}}</t>
  </si>
  <si>
    <t>{{iso27001_10_1}}</t>
  </si>
  <si>
    <t>{{iso27001_10_2}}</t>
  </si>
  <si>
    <t xml:space="preserve">{{iso27001_5_1}}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</si>
</sst>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0"/>
      <name val="Arial"/>
      <family val="2"/>
    </font>
    <font>
      <sz val="11"/>
      <color theme="1"/>
      <name val="Calibri"/>
      <family val="2"/>
      <scheme val="minor"/>
    </font>
    <font>
      <b/>
      <sz val="12"/>
      <color indexed="9"/>
      <name val="Arial"/>
      <family val="2"/>
    </font>
    <font>
      <b/>
      <sz val="14"/>
      <color indexed="8"/>
      <name val="Tahoma"/>
      <family val="2"/>
    </font>
    <font>
      <sz val="10"/>
      <name val="Arial"/>
      <family val="2"/>
    </font>
    <font>
      <sz val="12"/>
      <name val="Calibri"/>
      <family val="2"/>
      <scheme val="minor"/>
    </font>
    <font>
      <sz val="10"/>
      <name val="Calibri"/>
      <family val="2"/>
      <scheme val="minor"/>
    </font>
    <font>
      <b/>
      <sz val="12"/>
      <color indexed="9"/>
      <name val="Calibri"/>
      <family val="2"/>
      <scheme val="minor"/>
    </font>
    <font>
      <b/>
      <sz val="16"/>
      <name val="Calibri"/>
      <family val="2"/>
      <scheme val="minor"/>
    </font>
    <font>
      <b/>
      <sz val="10"/>
      <name val="Calibri"/>
      <family val="2"/>
      <scheme val="minor"/>
    </font>
    <font>
      <b/>
      <sz val="12"/>
      <name val="Calibri"/>
      <family val="2"/>
      <scheme val="minor"/>
    </font>
    <font>
      <b/>
      <sz val="24"/>
      <name val="Calibri"/>
      <family val="2"/>
      <scheme val="minor"/>
    </font>
    <font>
      <sz val="14"/>
      <name val="Calibri"/>
      <family val="2"/>
      <scheme val="minor"/>
    </font>
    <font>
      <sz val="20"/>
      <name val="Calibri"/>
      <family val="2"/>
      <scheme val="minor"/>
    </font>
    <font>
      <sz val="12"/>
      <color indexed="8"/>
      <name val="Calibri"/>
      <family val="2"/>
      <scheme val="minor"/>
    </font>
    <font>
      <sz val="9"/>
      <name val="Calibri"/>
      <family val="2"/>
      <scheme val="minor"/>
    </font>
    <font>
      <b/>
      <sz val="8"/>
      <name val="Calibri"/>
      <family val="2"/>
      <scheme val="minor"/>
    </font>
    <font>
      <b/>
      <sz val="18"/>
      <color indexed="8"/>
      <name val="Calibri"/>
      <family val="2"/>
      <scheme val="minor"/>
    </font>
    <font>
      <b/>
      <sz val="18"/>
      <name val="Calibri"/>
      <family val="2"/>
      <scheme val="minor"/>
    </font>
    <font>
      <sz val="18"/>
      <name val="Calibri"/>
      <family val="2"/>
      <scheme val="minor"/>
    </font>
    <font>
      <b/>
      <sz val="12"/>
      <color indexed="8"/>
      <name val="Calibri"/>
      <family val="2"/>
      <scheme val="minor"/>
    </font>
    <font>
      <b/>
      <sz val="12"/>
      <color theme="0"/>
      <name val="Calibri"/>
      <family val="2"/>
      <scheme val="minor"/>
    </font>
    <font>
      <b/>
      <sz val="16"/>
      <color theme="0"/>
      <name val="Calibri"/>
      <family val="2"/>
      <scheme val="minor"/>
    </font>
    <font>
      <b/>
      <sz val="10"/>
      <color theme="0"/>
      <name val="Calibri"/>
      <family val="2"/>
      <scheme val="minor"/>
    </font>
    <font>
      <sz val="9"/>
      <color indexed="81"/>
      <name val="Tahoma"/>
      <family val="2"/>
    </font>
    <font>
      <b/>
      <sz val="9"/>
      <color indexed="81"/>
      <name val="Tahoma"/>
      <family val="2"/>
    </font>
    <font>
      <sz val="12"/>
      <name val="Calibri"/>
      <family val="2"/>
    </font>
    <font>
      <sz val="16"/>
      <name val="Calibri"/>
      <family val="2"/>
      <scheme val="minor"/>
    </font>
    <font>
      <i/>
      <sz val="9"/>
      <name val="Calibri"/>
      <family val="2"/>
      <scheme val="minor"/>
    </font>
    <font>
      <b/>
      <sz val="14"/>
      <color theme="0"/>
      <name val="Calibri"/>
      <family val="2"/>
      <scheme val="minor"/>
    </font>
    <font>
      <b/>
      <sz val="12"/>
      <color theme="0" tint="-0.14999847407452621"/>
      <name val="Calibri"/>
      <family val="2"/>
      <scheme val="minor"/>
    </font>
    <font>
      <sz val="10"/>
      <color theme="0" tint="-0.14999847407452621"/>
      <name val="Calibri"/>
      <family val="2"/>
      <scheme val="minor"/>
    </font>
    <font>
      <b/>
      <sz val="9"/>
      <color theme="0"/>
      <name val="Calibri"/>
      <family val="2"/>
      <scheme val="minor"/>
    </font>
    <font>
      <sz val="12"/>
      <color theme="0" tint="-0.14999847407452621"/>
      <name val="Calibri"/>
      <family val="2"/>
      <scheme val="minor"/>
    </font>
    <font>
      <sz val="12"/>
      <name val="Arial"/>
      <family val="2"/>
    </font>
    <font>
      <sz val="9"/>
      <name val="Calibri"/>
      <family val="2"/>
    </font>
    <font>
      <sz val="10"/>
      <name val="Arial"/>
      <family val="2"/>
      <charset val="1"/>
    </font>
    <font>
      <sz val="8"/>
      <color rgb="FF0070C0"/>
      <name val="Calibri"/>
      <family val="2"/>
      <scheme val="minor"/>
    </font>
    <font>
      <sz val="8"/>
      <color rgb="FF00B050"/>
      <name val="Calibri"/>
      <family val="2"/>
      <scheme val="minor"/>
    </font>
    <font>
      <sz val="9"/>
      <color theme="1"/>
      <name val="Calibri"/>
      <family val="2"/>
      <scheme val="minor"/>
    </font>
    <font>
      <sz val="12"/>
      <color rgb="FF0070C0"/>
      <name val="Calibri"/>
      <family val="2"/>
      <scheme val="minor"/>
    </font>
    <font>
      <sz val="10"/>
      <color rgb="FF000000"/>
      <name val="Arial"/>
    </font>
    <font>
      <sz val="10"/>
      <color rgb="FF000000"/>
      <name val="Arial"/>
      <family val="2"/>
    </font>
    <font>
      <sz val="9"/>
      <color rgb="FF000000"/>
      <name val="Calibri"/>
      <family val="2"/>
      <scheme val="minor"/>
    </font>
  </fonts>
  <fills count="10">
    <fill>
      <patternFill patternType="none"/>
    </fill>
    <fill>
      <patternFill patternType="gray125"/>
    </fill>
    <fill>
      <patternFill patternType="solid">
        <fgColor indexed="44"/>
        <bgColor indexed="26"/>
      </patternFill>
    </fill>
    <fill>
      <patternFill patternType="solid">
        <fgColor indexed="52"/>
        <bgColor indexed="19"/>
      </patternFill>
    </fill>
    <fill>
      <patternFill patternType="solid">
        <fgColor indexed="8"/>
        <bgColor indexed="58"/>
      </patternFill>
    </fill>
    <fill>
      <patternFill patternType="solid">
        <fgColor indexed="27"/>
        <bgColor indexed="42"/>
      </patternFill>
    </fill>
    <fill>
      <patternFill patternType="solid">
        <fgColor rgb="FF002060"/>
        <bgColor indexed="42"/>
      </patternFill>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s>
  <borders count="36">
    <border>
      <left/>
      <right/>
      <top/>
      <bottom/>
      <diagonal/>
    </border>
    <border>
      <left style="hair">
        <color indexed="8"/>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top/>
      <bottom/>
      <diagonal/>
    </border>
    <border>
      <left style="hair">
        <color indexed="8"/>
      </left>
      <right/>
      <top/>
      <bottom style="hair">
        <color indexed="8"/>
      </bottom>
      <diagonal/>
    </border>
    <border>
      <left/>
      <right/>
      <top/>
      <bottom style="hair">
        <color indexed="8"/>
      </bottom>
      <diagonal/>
    </border>
    <border>
      <left style="hair">
        <color indexed="8"/>
      </left>
      <right style="thin">
        <color indexed="64"/>
      </right>
      <top style="hair">
        <color indexed="8"/>
      </top>
      <bottom style="hair">
        <color indexed="8"/>
      </bottom>
      <diagonal/>
    </border>
    <border>
      <left style="hair">
        <color indexed="8"/>
      </left>
      <right style="hair">
        <color indexed="8"/>
      </right>
      <top style="hair">
        <color indexed="8"/>
      </top>
      <bottom/>
      <diagonal/>
    </border>
    <border>
      <left style="medium">
        <color indexed="64"/>
      </left>
      <right style="hair">
        <color indexed="8"/>
      </right>
      <top style="medium">
        <color indexed="64"/>
      </top>
      <bottom style="hair">
        <color indexed="8"/>
      </bottom>
      <diagonal/>
    </border>
    <border>
      <left style="hair">
        <color indexed="8"/>
      </left>
      <right style="hair">
        <color indexed="8"/>
      </right>
      <top style="medium">
        <color indexed="64"/>
      </top>
      <bottom style="hair">
        <color indexed="8"/>
      </bottom>
      <diagonal/>
    </border>
    <border>
      <left style="hair">
        <color indexed="8"/>
      </left>
      <right style="medium">
        <color indexed="64"/>
      </right>
      <top style="medium">
        <color indexed="64"/>
      </top>
      <bottom style="hair">
        <color indexed="8"/>
      </bottom>
      <diagonal/>
    </border>
    <border>
      <left style="medium">
        <color indexed="64"/>
      </left>
      <right style="hair">
        <color indexed="8"/>
      </right>
      <top style="hair">
        <color indexed="8"/>
      </top>
      <bottom style="hair">
        <color indexed="8"/>
      </bottom>
      <diagonal/>
    </border>
    <border>
      <left style="hair">
        <color indexed="8"/>
      </left>
      <right style="medium">
        <color indexed="64"/>
      </right>
      <top style="hair">
        <color indexed="8"/>
      </top>
      <bottom style="hair">
        <color indexed="8"/>
      </bottom>
      <diagonal/>
    </border>
    <border>
      <left style="medium">
        <color indexed="64"/>
      </left>
      <right style="hair">
        <color indexed="8"/>
      </right>
      <top style="hair">
        <color indexed="8"/>
      </top>
      <bottom style="medium">
        <color indexed="64"/>
      </bottom>
      <diagonal/>
    </border>
    <border>
      <left style="hair">
        <color indexed="8"/>
      </left>
      <right style="hair">
        <color indexed="8"/>
      </right>
      <top style="hair">
        <color indexed="8"/>
      </top>
      <bottom style="medium">
        <color indexed="64"/>
      </bottom>
      <diagonal/>
    </border>
    <border>
      <left style="hair">
        <color indexed="8"/>
      </left>
      <right style="medium">
        <color indexed="64"/>
      </right>
      <top style="hair">
        <color indexed="8"/>
      </top>
      <bottom style="medium">
        <color indexed="64"/>
      </bottom>
      <diagonal/>
    </border>
    <border>
      <left style="hair">
        <color indexed="8"/>
      </left>
      <right/>
      <top style="hair">
        <color indexed="8"/>
      </top>
      <bottom style="medium">
        <color indexed="64"/>
      </bottom>
      <diagonal/>
    </border>
    <border>
      <left/>
      <right/>
      <top style="hair">
        <color indexed="8"/>
      </top>
      <bottom style="medium">
        <color indexed="64"/>
      </bottom>
      <diagonal/>
    </border>
    <border>
      <left/>
      <right style="hair">
        <color indexed="8"/>
      </right>
      <top style="hair">
        <color indexed="8"/>
      </top>
      <bottom style="medium">
        <color indexed="64"/>
      </bottom>
      <diagonal/>
    </border>
    <border>
      <left style="hair">
        <color indexed="8"/>
      </left>
      <right style="thin">
        <color indexed="64"/>
      </right>
      <top style="hair">
        <color indexed="8"/>
      </top>
      <bottom style="medium">
        <color indexed="64"/>
      </bottom>
      <diagonal/>
    </border>
    <border>
      <left style="medium">
        <color indexed="64"/>
      </left>
      <right style="hair">
        <color indexed="8"/>
      </right>
      <top style="medium">
        <color indexed="64"/>
      </top>
      <bottom/>
      <diagonal/>
    </border>
    <border>
      <left style="hair">
        <color indexed="8"/>
      </left>
      <right style="hair">
        <color indexed="8"/>
      </right>
      <top style="medium">
        <color indexed="64"/>
      </top>
      <bottom/>
      <diagonal/>
    </border>
    <border>
      <left style="hair">
        <color indexed="8"/>
      </left>
      <right style="medium">
        <color indexed="64"/>
      </right>
      <top style="medium">
        <color indexed="64"/>
      </top>
      <bottom/>
      <diagonal/>
    </border>
    <border>
      <left style="hair">
        <color indexed="8"/>
      </left>
      <right style="thin">
        <color indexed="64"/>
      </right>
      <top style="medium">
        <color indexed="64"/>
      </top>
      <bottom style="hair">
        <color indexed="8"/>
      </bottom>
      <diagonal/>
    </border>
    <border>
      <left/>
      <right/>
      <top style="hair">
        <color indexed="8"/>
      </top>
      <bottom style="hair">
        <color indexed="8"/>
      </bottom>
      <diagonal/>
    </border>
    <border>
      <left/>
      <right style="medium">
        <color indexed="64"/>
      </right>
      <top style="hair">
        <color indexed="8"/>
      </top>
      <bottom style="hair">
        <color indexed="8"/>
      </bottom>
      <diagonal/>
    </border>
    <border>
      <left/>
      <right style="medium">
        <color rgb="FF0F253F"/>
      </right>
      <top/>
      <bottom style="medium">
        <color rgb="FF0F253F"/>
      </bottom>
      <diagonal/>
    </border>
    <border>
      <left/>
      <right style="medium">
        <color rgb="FF0F253F"/>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hair">
        <color indexed="8"/>
      </bottom>
      <diagonal/>
    </border>
    <border>
      <left/>
      <right style="thin">
        <color auto="1"/>
      </right>
      <top/>
      <bottom/>
      <diagonal/>
    </border>
    <border>
      <left style="hair">
        <color indexed="8"/>
      </left>
      <right style="thin">
        <color indexed="64"/>
      </right>
      <top/>
      <bottom/>
      <diagonal/>
    </border>
    <border>
      <left style="hair">
        <color indexed="8"/>
      </left>
      <right style="thin">
        <color indexed="64"/>
      </right>
      <top/>
      <bottom style="thin">
        <color auto="1"/>
      </bottom>
      <diagonal/>
    </border>
    <border>
      <left style="thin">
        <color auto="1"/>
      </left>
      <right style="thin">
        <color indexed="64"/>
      </right>
      <top style="thin">
        <color auto="1"/>
      </top>
      <bottom/>
      <diagonal/>
    </border>
    <border>
      <left style="thin">
        <color auto="1"/>
      </left>
      <right style="thin">
        <color indexed="64"/>
      </right>
      <top/>
      <bottom style="thin">
        <color auto="1"/>
      </bottom>
      <diagonal/>
    </border>
    <border>
      <left style="thin">
        <color auto="1"/>
      </left>
      <right style="thin">
        <color auto="1"/>
      </right>
      <top style="thin">
        <color auto="1"/>
      </top>
      <bottom style="thin">
        <color auto="1"/>
      </bottom>
      <diagonal/>
    </border>
  </borders>
  <cellStyleXfs count="11">
    <xf numFmtId="0" fontId="0" fillId="0" borderId="0"/>
    <xf numFmtId="0" fontId="4" fillId="2" borderId="0" applyNumberFormat="0" applyBorder="0" applyAlignment="0" applyProtection="0"/>
    <xf numFmtId="0" fontId="4" fillId="0" borderId="0"/>
    <xf numFmtId="0" fontId="2" fillId="3" borderId="0" applyNumberFormat="0" applyBorder="0" applyProtection="0">
      <alignment horizontal="center" vertical="center"/>
    </xf>
    <xf numFmtId="0" fontId="2" fillId="4" borderId="0">
      <alignment horizontal="center" vertical="center"/>
    </xf>
    <xf numFmtId="0" fontId="26" fillId="0" borderId="0">
      <alignment horizontal="center" vertical="center" shrinkToFit="1"/>
    </xf>
    <xf numFmtId="0" fontId="36" fillId="0" borderId="0"/>
    <xf numFmtId="0" fontId="4" fillId="0" borderId="0"/>
    <xf numFmtId="0" fontId="41" fillId="0" borderId="0"/>
    <xf numFmtId="0" fontId="42" fillId="0" borderId="0"/>
    <xf numFmtId="0" fontId="1" fillId="0" borderId="0"/>
  </cellStyleXfs>
  <cellXfs count="109">
    <xf numFmtId="0" fontId="0" fillId="0" borderId="0" xfId="0"/>
    <xf numFmtId="0" fontId="6" fillId="0" borderId="3" xfId="2" applyFont="1" applyBorder="1" applyAlignment="1">
      <alignment horizontal="center" vertical="top"/>
    </xf>
    <xf numFmtId="0" fontId="13" fillId="0" borderId="0" xfId="2" applyFont="1" applyAlignment="1">
      <alignment vertical="center"/>
    </xf>
    <xf numFmtId="0" fontId="5" fillId="0" borderId="0" xfId="2" applyFont="1" applyAlignment="1">
      <alignment horizontal="center" vertical="center"/>
    </xf>
    <xf numFmtId="0" fontId="6" fillId="0" borderId="0" xfId="2" applyFont="1" applyAlignment="1">
      <alignment horizontal="center" vertical="center"/>
    </xf>
    <xf numFmtId="0" fontId="6" fillId="0" borderId="0" xfId="0" applyFont="1" applyAlignment="1">
      <alignment vertical="center"/>
    </xf>
    <xf numFmtId="0" fontId="5" fillId="0" borderId="0" xfId="2" applyFont="1" applyAlignment="1">
      <alignment vertical="center"/>
    </xf>
    <xf numFmtId="0" fontId="10" fillId="0" borderId="0" xfId="2" applyFont="1" applyAlignment="1">
      <alignment horizontal="center" vertical="center" wrapText="1"/>
    </xf>
    <xf numFmtId="0" fontId="6" fillId="0" borderId="0" xfId="2" applyFont="1" applyAlignment="1">
      <alignment vertical="center"/>
    </xf>
    <xf numFmtId="0" fontId="16" fillId="0" borderId="0" xfId="2" applyFont="1" applyAlignment="1">
      <alignment horizontal="center" vertical="center" wrapText="1"/>
    </xf>
    <xf numFmtId="0" fontId="17" fillId="5" borderId="1" xfId="2" applyFont="1" applyFill="1" applyBorder="1" applyAlignment="1" applyProtection="1">
      <alignment wrapText="1"/>
      <protection locked="0"/>
    </xf>
    <xf numFmtId="0" fontId="18" fillId="0" borderId="0" xfId="2" applyFont="1" applyAlignment="1" applyProtection="1">
      <alignment wrapText="1"/>
      <protection locked="0"/>
    </xf>
    <xf numFmtId="0" fontId="17" fillId="5" borderId="1" xfId="2" applyFont="1" applyFill="1" applyBorder="1" applyAlignment="1" applyProtection="1">
      <alignment horizontal="left" wrapText="1"/>
      <protection locked="0"/>
    </xf>
    <xf numFmtId="0" fontId="19" fillId="0" borderId="0" xfId="0" applyFont="1" applyAlignment="1" applyProtection="1">
      <alignment wrapText="1"/>
      <protection locked="0"/>
    </xf>
    <xf numFmtId="0" fontId="19" fillId="0" borderId="0" xfId="2" applyFont="1" applyAlignment="1" applyProtection="1">
      <alignment wrapText="1"/>
      <protection locked="0"/>
    </xf>
    <xf numFmtId="0" fontId="5" fillId="0" borderId="0" xfId="2" applyFont="1" applyAlignment="1" applyProtection="1">
      <alignment horizontal="center" wrapText="1"/>
      <protection locked="0"/>
    </xf>
    <xf numFmtId="0" fontId="6" fillId="0" borderId="0" xfId="2" applyFont="1" applyAlignment="1" applyProtection="1">
      <alignment wrapText="1"/>
      <protection locked="0"/>
    </xf>
    <xf numFmtId="0" fontId="7" fillId="0" borderId="0" xfId="3" applyNumberFormat="1" applyFont="1" applyFill="1" applyBorder="1" applyProtection="1">
      <alignment horizontal="center" vertical="center"/>
      <protection locked="0"/>
    </xf>
    <xf numFmtId="0" fontId="6" fillId="0" borderId="2" xfId="2" applyFont="1" applyBorder="1" applyAlignment="1" applyProtection="1">
      <alignment wrapText="1"/>
      <protection locked="0"/>
    </xf>
    <xf numFmtId="0" fontId="5" fillId="0" borderId="0" xfId="2" applyFont="1" applyAlignment="1">
      <alignment horizontal="center" wrapText="1"/>
    </xf>
    <xf numFmtId="9" fontId="9" fillId="0" borderId="0" xfId="2" applyNumberFormat="1" applyFont="1" applyAlignment="1">
      <alignment horizontal="center" vertical="top" wrapText="1"/>
    </xf>
    <xf numFmtId="0" fontId="9" fillId="0" borderId="4" xfId="2" applyFont="1" applyBorder="1" applyAlignment="1">
      <alignment horizontal="center" vertical="top"/>
    </xf>
    <xf numFmtId="0" fontId="5" fillId="0" borderId="5" xfId="2" applyFont="1" applyBorder="1" applyAlignment="1" applyProtection="1">
      <alignment horizontal="center" wrapText="1"/>
      <protection locked="0"/>
    </xf>
    <xf numFmtId="0" fontId="6" fillId="0" borderId="5" xfId="2" applyFont="1" applyBorder="1" applyAlignment="1" applyProtection="1">
      <alignment wrapText="1"/>
      <protection locked="0"/>
    </xf>
    <xf numFmtId="0" fontId="6" fillId="0" borderId="0" xfId="0" applyFont="1"/>
    <xf numFmtId="0" fontId="6" fillId="0" borderId="0" xfId="2" applyFont="1" applyAlignment="1" applyProtection="1">
      <alignment vertical="center" wrapText="1"/>
      <protection locked="0"/>
    </xf>
    <xf numFmtId="0" fontId="6" fillId="0" borderId="1" xfId="2" applyFont="1" applyBorder="1" applyAlignment="1" applyProtection="1">
      <alignment horizontal="right" vertical="center" wrapText="1"/>
      <protection locked="0"/>
    </xf>
    <xf numFmtId="0" fontId="5" fillId="0" borderId="0" xfId="2" applyFont="1" applyAlignment="1" applyProtection="1">
      <alignment wrapText="1"/>
      <protection locked="0"/>
    </xf>
    <xf numFmtId="0" fontId="5" fillId="0" borderId="0" xfId="0" applyFont="1" applyAlignment="1" applyProtection="1">
      <alignment wrapText="1"/>
      <protection locked="0"/>
    </xf>
    <xf numFmtId="0" fontId="13" fillId="0" borderId="0" xfId="2" applyFont="1" applyAlignment="1" applyProtection="1">
      <alignment vertical="center" wrapText="1"/>
      <protection locked="0"/>
    </xf>
    <xf numFmtId="0" fontId="15" fillId="0" borderId="1" xfId="2" applyFont="1" applyBorder="1" applyAlignment="1">
      <alignment horizontal="center" vertical="center" wrapText="1"/>
    </xf>
    <xf numFmtId="0" fontId="30" fillId="0" borderId="0" xfId="3" applyNumberFormat="1" applyFont="1" applyFill="1" applyBorder="1" applyProtection="1">
      <alignment horizontal="center" vertical="center"/>
      <protection locked="0"/>
    </xf>
    <xf numFmtId="9" fontId="8" fillId="0" borderId="6" xfId="2" applyNumberFormat="1" applyFont="1" applyBorder="1" applyAlignment="1">
      <alignment horizontal="center" vertical="center" wrapText="1"/>
    </xf>
    <xf numFmtId="0" fontId="12" fillId="0" borderId="0" xfId="0" applyFont="1"/>
    <xf numFmtId="0" fontId="6" fillId="0" borderId="0" xfId="0" applyFont="1" applyAlignment="1">
      <alignment horizontal="center" vertical="center"/>
    </xf>
    <xf numFmtId="0" fontId="6" fillId="0" borderId="0" xfId="0" applyFont="1" applyAlignment="1">
      <alignment horizontal="right" vertical="center"/>
    </xf>
    <xf numFmtId="9" fontId="6" fillId="0" borderId="0" xfId="0" applyNumberFormat="1" applyFont="1" applyAlignment="1">
      <alignment horizontal="center" vertical="center"/>
    </xf>
    <xf numFmtId="0" fontId="20" fillId="8" borderId="1" xfId="2" applyFont="1" applyFill="1" applyBorder="1" applyAlignment="1" applyProtection="1">
      <alignment horizontal="center" wrapText="1"/>
      <protection locked="0"/>
    </xf>
    <xf numFmtId="0" fontId="20" fillId="8" borderId="1" xfId="2" applyFont="1" applyFill="1" applyBorder="1" applyAlignment="1" applyProtection="1">
      <alignment horizontal="left" wrapText="1"/>
      <protection locked="0"/>
    </xf>
    <xf numFmtId="0" fontId="5" fillId="0" borderId="1" xfId="2" applyFont="1" applyBorder="1" applyAlignment="1">
      <alignment horizontal="center" vertical="center" shrinkToFit="1"/>
    </xf>
    <xf numFmtId="0" fontId="27" fillId="0" borderId="0" xfId="0" applyFont="1" applyAlignment="1">
      <alignment horizontal="center" vertical="center"/>
    </xf>
    <xf numFmtId="0" fontId="29" fillId="6" borderId="8" xfId="2" applyFont="1" applyFill="1" applyBorder="1" applyAlignment="1" applyProtection="1">
      <alignment horizontal="center" wrapText="1"/>
      <protection locked="0"/>
    </xf>
    <xf numFmtId="0" fontId="22" fillId="6" borderId="9" xfId="2" applyFont="1" applyFill="1" applyBorder="1" applyAlignment="1" applyProtection="1">
      <alignment horizontal="center" wrapText="1"/>
      <protection locked="0"/>
    </xf>
    <xf numFmtId="0" fontId="22" fillId="6" borderId="10" xfId="2" applyFont="1" applyFill="1" applyBorder="1" applyAlignment="1" applyProtection="1">
      <alignment horizontal="center" wrapText="1"/>
      <protection locked="0"/>
    </xf>
    <xf numFmtId="0" fontId="17" fillId="5" borderId="11" xfId="2" applyFont="1" applyFill="1" applyBorder="1" applyAlignment="1" applyProtection="1">
      <alignment horizontal="center" wrapText="1"/>
      <protection locked="0"/>
    </xf>
    <xf numFmtId="0" fontId="20" fillId="8" borderId="11" xfId="2" applyFont="1" applyFill="1" applyBorder="1" applyAlignment="1" applyProtection="1">
      <alignment horizontal="center" wrapText="1"/>
      <protection locked="0"/>
    </xf>
    <xf numFmtId="0" fontId="6" fillId="0" borderId="11" xfId="2" applyFont="1" applyBorder="1" applyAlignment="1" applyProtection="1">
      <alignment horizontal="center" vertical="center" wrapText="1"/>
      <protection locked="0"/>
    </xf>
    <xf numFmtId="0" fontId="6" fillId="0" borderId="13" xfId="2" applyFont="1" applyBorder="1" applyAlignment="1" applyProtection="1">
      <alignment horizontal="center" vertical="center" wrapText="1"/>
      <protection locked="0"/>
    </xf>
    <xf numFmtId="0" fontId="6" fillId="0" borderId="14" xfId="2" applyFont="1" applyBorder="1" applyAlignment="1" applyProtection="1">
      <alignment horizontal="right" vertical="center" wrapText="1"/>
      <protection locked="0"/>
    </xf>
    <xf numFmtId="0" fontId="21" fillId="6" borderId="8" xfId="2" applyFont="1" applyFill="1" applyBorder="1" applyAlignment="1" applyProtection="1">
      <alignment horizontal="center" wrapText="1"/>
      <protection locked="0"/>
    </xf>
    <xf numFmtId="0" fontId="11" fillId="0" borderId="1" xfId="2" applyFont="1" applyBorder="1" applyAlignment="1">
      <alignment horizontal="center" vertical="center"/>
    </xf>
    <xf numFmtId="0" fontId="22" fillId="6" borderId="9" xfId="2" applyFont="1" applyFill="1" applyBorder="1" applyAlignment="1" applyProtection="1">
      <alignment horizontal="center" shrinkToFit="1"/>
      <protection locked="0"/>
    </xf>
    <xf numFmtId="0" fontId="14" fillId="0" borderId="0" xfId="2" applyFont="1" applyAlignment="1">
      <alignment horizontal="center" vertical="center" shrinkToFit="1"/>
    </xf>
    <xf numFmtId="0" fontId="5" fillId="0" borderId="0" xfId="2" applyFont="1" applyAlignment="1">
      <alignment horizontal="center" vertical="center" shrinkToFit="1"/>
    </xf>
    <xf numFmtId="0" fontId="6" fillId="0" borderId="0" xfId="2" applyFont="1" applyAlignment="1">
      <alignment horizontal="center" vertical="center" shrinkToFit="1"/>
    </xf>
    <xf numFmtId="9" fontId="8" fillId="0" borderId="12" xfId="2" applyNumberFormat="1" applyFont="1" applyBorder="1" applyAlignment="1">
      <alignment horizontal="center" vertical="center" wrapText="1"/>
    </xf>
    <xf numFmtId="0" fontId="15" fillId="0" borderId="14" xfId="2" applyFont="1" applyBorder="1" applyAlignment="1">
      <alignment horizontal="center" vertical="center" wrapText="1"/>
    </xf>
    <xf numFmtId="9" fontId="8" fillId="0" borderId="19" xfId="2" applyNumberFormat="1" applyFont="1" applyBorder="1" applyAlignment="1">
      <alignment horizontal="center" vertical="center" wrapText="1"/>
    </xf>
    <xf numFmtId="9" fontId="8" fillId="0" borderId="15" xfId="2" applyNumberFormat="1" applyFont="1" applyBorder="1" applyAlignment="1">
      <alignment horizontal="center" vertical="center" wrapText="1"/>
    </xf>
    <xf numFmtId="0" fontId="29" fillId="7" borderId="20" xfId="2" applyFont="1" applyFill="1" applyBorder="1" applyAlignment="1">
      <alignment horizontal="center" wrapText="1"/>
    </xf>
    <xf numFmtId="0" fontId="29" fillId="7" borderId="21" xfId="2" applyFont="1" applyFill="1" applyBorder="1" applyAlignment="1">
      <alignment horizontal="center" wrapText="1"/>
    </xf>
    <xf numFmtId="0" fontId="23" fillId="7" borderId="21" xfId="2" applyFont="1" applyFill="1" applyBorder="1" applyAlignment="1">
      <alignment horizontal="center" wrapText="1" shrinkToFit="1"/>
    </xf>
    <xf numFmtId="0" fontId="32" fillId="7" borderId="22" xfId="2" applyFont="1" applyFill="1" applyBorder="1" applyAlignment="1">
      <alignment horizontal="center" wrapText="1" shrinkToFit="1"/>
    </xf>
    <xf numFmtId="0" fontId="18" fillId="0" borderId="8" xfId="2" applyFont="1" applyBorder="1" applyAlignment="1">
      <alignment horizontal="center" vertical="center" shrinkToFit="1"/>
    </xf>
    <xf numFmtId="0" fontId="15" fillId="0" borderId="9" xfId="2" applyFont="1" applyBorder="1" applyAlignment="1">
      <alignment horizontal="center" vertical="center" wrapText="1"/>
    </xf>
    <xf numFmtId="9" fontId="8" fillId="0" borderId="23" xfId="2" applyNumberFormat="1" applyFont="1" applyBorder="1" applyAlignment="1">
      <alignment horizontal="center" vertical="center" wrapText="1"/>
    </xf>
    <xf numFmtId="9" fontId="8" fillId="0" borderId="10" xfId="2" applyNumberFormat="1" applyFont="1" applyBorder="1" applyAlignment="1">
      <alignment horizontal="center" vertical="center" wrapText="1"/>
    </xf>
    <xf numFmtId="0" fontId="18" fillId="0" borderId="11" xfId="2" applyFont="1" applyBorder="1" applyAlignment="1">
      <alignment horizontal="center" vertical="center" shrinkToFit="1"/>
    </xf>
    <xf numFmtId="0" fontId="8" fillId="0" borderId="13" xfId="2" applyFont="1" applyBorder="1" applyAlignment="1">
      <alignment horizontal="center" vertical="center" shrinkToFit="1"/>
    </xf>
    <xf numFmtId="0" fontId="5" fillId="0" borderId="11" xfId="2" applyFont="1" applyBorder="1" applyAlignment="1" applyProtection="1">
      <alignment horizontal="center" vertical="center" wrapText="1"/>
      <protection locked="0"/>
    </xf>
    <xf numFmtId="0" fontId="5" fillId="0" borderId="0" xfId="2" applyFont="1" applyAlignment="1" applyProtection="1">
      <alignment vertical="center" wrapText="1"/>
      <protection locked="0"/>
    </xf>
    <xf numFmtId="0" fontId="10" fillId="0" borderId="1" xfId="2" applyFont="1" applyBorder="1" applyAlignment="1">
      <alignment horizontal="center" vertical="center" wrapText="1"/>
    </xf>
    <xf numFmtId="0" fontId="33" fillId="0" borderId="0" xfId="2" applyFont="1" applyAlignment="1" applyProtection="1">
      <alignment wrapText="1"/>
      <protection locked="0"/>
    </xf>
    <xf numFmtId="0" fontId="35" fillId="0" borderId="26" xfId="0" applyFont="1" applyBorder="1" applyAlignment="1">
      <alignment vertical="center" wrapText="1"/>
    </xf>
    <xf numFmtId="0" fontId="35" fillId="0" borderId="27" xfId="0" applyFont="1" applyBorder="1" applyAlignment="1">
      <alignment vertical="center" wrapText="1"/>
    </xf>
    <xf numFmtId="0" fontId="35" fillId="0" borderId="28" xfId="0" applyFont="1" applyBorder="1" applyAlignment="1">
      <alignment vertical="center" wrapText="1"/>
    </xf>
    <xf numFmtId="0" fontId="6" fillId="0" borderId="1" xfId="2" applyFont="1" applyBorder="1" applyAlignment="1" applyProtection="1">
      <alignment horizontal="left" vertical="center" wrapText="1"/>
      <protection locked="0"/>
    </xf>
    <xf numFmtId="0" fontId="9" fillId="0" borderId="1" xfId="2" applyFont="1" applyBorder="1" applyAlignment="1" applyProtection="1">
      <alignment horizontal="right" vertical="center" wrapText="1"/>
      <protection locked="0"/>
    </xf>
    <xf numFmtId="0" fontId="20" fillId="8" borderId="6" xfId="2" applyFont="1" applyFill="1" applyBorder="1" applyAlignment="1" applyProtection="1">
      <alignment horizontal="left" wrapText="1"/>
      <protection locked="0"/>
    </xf>
    <xf numFmtId="0" fontId="39" fillId="9" borderId="35" xfId="10" applyFont="1" applyFill="1" applyBorder="1" applyAlignment="1">
      <alignment horizontal="left" wrapText="1"/>
    </xf>
    <xf numFmtId="0" fontId="39" fillId="9" borderId="33" xfId="10" applyFont="1" applyFill="1" applyBorder="1" applyAlignment="1">
      <alignment horizontal="left" wrapText="1"/>
    </xf>
    <xf numFmtId="0" fontId="39" fillId="0" borderId="35" xfId="10" applyFont="1" applyBorder="1" applyAlignment="1">
      <alignment horizontal="left" wrapText="1"/>
    </xf>
    <xf numFmtId="0" fontId="43" fillId="0" borderId="35" xfId="10" applyFont="1" applyBorder="1" applyAlignment="1">
      <alignment horizontal="left" vertical="center" wrapText="1"/>
    </xf>
    <xf numFmtId="0" fontId="22" fillId="6" borderId="31" xfId="2" applyFont="1" applyFill="1" applyBorder="1" applyAlignment="1" applyProtection="1">
      <alignment horizontal="left" wrapText="1"/>
      <protection locked="0"/>
    </xf>
    <xf numFmtId="0" fontId="17" fillId="5" borderId="31" xfId="2" applyFont="1" applyFill="1" applyBorder="1" applyAlignment="1" applyProtection="1">
      <alignment horizontal="left" wrapText="1"/>
      <protection locked="0"/>
    </xf>
    <xf numFmtId="0" fontId="20" fillId="8" borderId="32" xfId="2" applyFont="1" applyFill="1" applyBorder="1" applyAlignment="1" applyProtection="1">
      <alignment horizontal="left" wrapText="1"/>
      <protection locked="0"/>
    </xf>
    <xf numFmtId="0" fontId="37" fillId="0" borderId="6" xfId="2" applyFont="1" applyBorder="1" applyAlignment="1" applyProtection="1">
      <alignment horizontal="left" vertical="center" wrapText="1"/>
      <protection locked="0"/>
    </xf>
    <xf numFmtId="0" fontId="17" fillId="5" borderId="6" xfId="2" applyFont="1" applyFill="1" applyBorder="1" applyAlignment="1" applyProtection="1">
      <alignment horizontal="left" wrapText="1"/>
      <protection locked="0"/>
    </xf>
    <xf numFmtId="0" fontId="37" fillId="0" borderId="6" xfId="2" quotePrefix="1" applyFont="1" applyBorder="1" applyAlignment="1" applyProtection="1">
      <alignment horizontal="left" vertical="center" wrapText="1"/>
      <protection locked="0"/>
    </xf>
    <xf numFmtId="0" fontId="37" fillId="0" borderId="19" xfId="2" applyFont="1" applyBorder="1" applyAlignment="1" applyProtection="1">
      <alignment horizontal="left" vertical="center" wrapText="1"/>
      <protection locked="0"/>
    </xf>
    <xf numFmtId="0" fontId="31" fillId="0" borderId="30" xfId="2" applyFont="1" applyBorder="1" applyAlignment="1" applyProtection="1">
      <alignment horizontal="left" wrapText="1"/>
      <protection locked="0"/>
    </xf>
    <xf numFmtId="0" fontId="6" fillId="0" borderId="30" xfId="2" applyFont="1" applyBorder="1" applyAlignment="1" applyProtection="1">
      <alignment horizontal="left" wrapText="1"/>
      <protection locked="0"/>
    </xf>
    <xf numFmtId="0" fontId="5" fillId="0" borderId="1" xfId="2" applyFont="1" applyBorder="1" applyAlignment="1">
      <alignment horizontal="center" vertical="center" wrapText="1" shrinkToFit="1"/>
    </xf>
    <xf numFmtId="0" fontId="20" fillId="8" borderId="1" xfId="2" applyFont="1" applyFill="1" applyBorder="1" applyAlignment="1" applyProtection="1">
      <alignment horizontal="left" wrapText="1" shrinkToFit="1"/>
      <protection locked="0"/>
    </xf>
    <xf numFmtId="0" fontId="17" fillId="5" borderId="1" xfId="2" applyFont="1" applyFill="1" applyBorder="1" applyAlignment="1" applyProtection="1">
      <alignment horizontal="center" wrapText="1" shrinkToFit="1"/>
      <protection locked="0"/>
    </xf>
    <xf numFmtId="0" fontId="40" fillId="0" borderId="1" xfId="2" applyFont="1" applyBorder="1" applyAlignment="1">
      <alignment horizontal="center" vertical="center" wrapText="1" shrinkToFit="1"/>
    </xf>
    <xf numFmtId="0" fontId="30" fillId="0" borderId="0" xfId="3" applyNumberFormat="1" applyFont="1" applyFill="1" applyBorder="1" applyAlignment="1" applyProtection="1">
      <alignment horizontal="center" vertical="center" wrapText="1"/>
      <protection locked="0"/>
    </xf>
    <xf numFmtId="0" fontId="11" fillId="0" borderId="7" xfId="2" applyFont="1" applyBorder="1" applyAlignment="1" applyProtection="1">
      <alignment horizontal="center" vertical="center" wrapText="1"/>
      <protection locked="0"/>
    </xf>
    <xf numFmtId="0" fontId="37" fillId="0" borderId="33" xfId="6" applyFont="1" applyBorder="1" applyAlignment="1">
      <alignment horizontal="left" vertical="top" wrapText="1"/>
    </xf>
    <xf numFmtId="0" fontId="38" fillId="0" borderId="34" xfId="6" applyFont="1" applyBorder="1" applyAlignment="1">
      <alignment horizontal="left" vertical="top" wrapText="1"/>
    </xf>
    <xf numFmtId="0" fontId="11" fillId="0" borderId="16" xfId="2" applyFont="1" applyBorder="1" applyAlignment="1">
      <alignment horizontal="center" vertical="center"/>
    </xf>
    <xf numFmtId="0" fontId="11" fillId="0" borderId="17" xfId="2" applyFont="1" applyBorder="1" applyAlignment="1">
      <alignment horizontal="center" vertical="center"/>
    </xf>
    <xf numFmtId="0" fontId="11" fillId="0" borderId="18" xfId="2" applyFont="1" applyBorder="1" applyAlignment="1">
      <alignment horizontal="center" vertical="center"/>
    </xf>
    <xf numFmtId="0" fontId="17" fillId="5" borderId="2" xfId="2" applyFont="1" applyFill="1" applyBorder="1" applyAlignment="1" applyProtection="1">
      <alignment horizontal="left" shrinkToFit="1"/>
      <protection locked="0"/>
    </xf>
    <xf numFmtId="0" fontId="17" fillId="5" borderId="24" xfId="2" applyFont="1" applyFill="1" applyBorder="1" applyAlignment="1" applyProtection="1">
      <alignment horizontal="left" shrinkToFit="1"/>
      <protection locked="0"/>
    </xf>
    <xf numFmtId="0" fontId="17" fillId="5" borderId="25" xfId="2" applyFont="1" applyFill="1" applyBorder="1" applyAlignment="1" applyProtection="1">
      <alignment horizontal="left" shrinkToFit="1"/>
      <protection locked="0"/>
    </xf>
    <xf numFmtId="0" fontId="17" fillId="5" borderId="4" xfId="2" applyFont="1" applyFill="1" applyBorder="1" applyAlignment="1" applyProtection="1">
      <alignment horizontal="left" shrinkToFit="1"/>
      <protection locked="0"/>
    </xf>
    <xf numFmtId="0" fontId="17" fillId="5" borderId="5" xfId="2" applyFont="1" applyFill="1" applyBorder="1" applyAlignment="1" applyProtection="1">
      <alignment horizontal="left" shrinkToFit="1"/>
      <protection locked="0"/>
    </xf>
    <xf numFmtId="0" fontId="17" fillId="5" borderId="29" xfId="2" applyFont="1" applyFill="1" applyBorder="1" applyAlignment="1" applyProtection="1">
      <alignment horizontal="left" shrinkToFit="1"/>
      <protection locked="0"/>
    </xf>
  </cellXfs>
  <cellStyles count="11">
    <cellStyle name="_state_yes" xfId="1" xr:uid="{00000000-0005-0000-0000-000000000000}"/>
    <cellStyle name="ConditionalStyle_0" xfId="4" xr:uid="{00000000-0005-0000-0000-000001000000}"/>
    <cellStyle name="ConditionalStyle_2" xfId="3" xr:uid="{00000000-0005-0000-0000-000002000000}"/>
    <cellStyle name="Excel Built-in Normal" xfId="2" xr:uid="{00000000-0005-0000-0000-000003000000}"/>
    <cellStyle name="Normal 2" xfId="7" xr:uid="{EA7CC11E-44E0-4533-BA71-F750F7318986}"/>
    <cellStyle name="Normale" xfId="0" builtinId="0"/>
    <cellStyle name="Normale 2" xfId="8" xr:uid="{1951300F-DF2A-496B-B8B6-CD04F6D40A88}"/>
    <cellStyle name="Normale 3" xfId="9" xr:uid="{ED8ED6FE-E80F-43BB-A22D-8B7D24AE5D3F}"/>
    <cellStyle name="Normale 4" xfId="10" xr:uid="{FB91470D-910F-4D8D-9E3D-21910E779869}"/>
    <cellStyle name="Status" xfId="5" xr:uid="{00000000-0005-0000-0000-000006000000}"/>
    <cellStyle name="TableStyleLight1" xfId="6" xr:uid="{7A5E73D7-C373-4A1A-978B-0064A95AF16D}"/>
  </cellStyles>
  <dxfs count="386">
    <dxf>
      <font>
        <color theme="0"/>
      </font>
      <fill>
        <patternFill>
          <bgColor theme="0" tint="-0.34998626667073579"/>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condense val="0"/>
        <extend val="0"/>
        <color indexed="9"/>
      </font>
      <fill>
        <patternFill patternType="solid">
          <fgColor indexed="15"/>
          <bgColor indexed="49"/>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CC00"/>
      <rgbColor rgb="000000FF"/>
      <rgbColor rgb="00FFFF00"/>
      <rgbColor rgb="00FF00FF"/>
      <rgbColor rgb="0066FF66"/>
      <rgbColor rgb="00800000"/>
      <rgbColor rgb="00008000"/>
      <rgbColor rgb="00000080"/>
      <rgbColor rgb="00808000"/>
      <rgbColor rgb="00800080"/>
      <rgbColor rgb="00009999"/>
      <rgbColor rgb="00B2B2B2"/>
      <rgbColor rgb="00808080"/>
      <rgbColor rgb="009999FF"/>
      <rgbColor rgb="00993366"/>
      <rgbColor rgb="00CCFF99"/>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E6E6FF"/>
      <rgbColor rgb="00CCFFCC"/>
      <rgbColor rgb="00FFFF66"/>
      <rgbColor rgb="00A0FFA0"/>
      <rgbColor rgb="00FF99CC"/>
      <rgbColor rgb="00CC99FF"/>
      <rgbColor rgb="00FFCC99"/>
      <rgbColor rgb="003366FF"/>
      <rgbColor rgb="0033FF99"/>
      <rgbColor rgb="0099FF33"/>
      <rgbColor rgb="00FFCC00"/>
      <rgbColor rgb="00CC9900"/>
      <rgbColor rgb="00FF6600"/>
      <rgbColor rgb="00666699"/>
      <rgbColor rgb="00969696"/>
      <rgbColor rgb="00003366"/>
      <rgbColor rgb="00339966"/>
      <rgbColor rgb="00003300"/>
      <rgbColor rgb="00333300"/>
      <rgbColor rgb="00993300"/>
      <rgbColor rgb="00993366"/>
      <rgbColor rgb="00333399"/>
      <rgbColor rgb="00333333"/>
    </indexedColors>
    <mruColors>
      <color rgb="FF336600"/>
      <color rgb="FF8E000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bg1">
                  <a:lumMod val="95000"/>
                </a:schemeClr>
              </a:solidFill>
            </c:spPr>
            <c:extLst>
              <c:ext xmlns:c16="http://schemas.microsoft.com/office/drawing/2014/chart" uri="{C3380CC4-5D6E-409C-BE32-E72D297353CC}">
                <c16:uniqueId val="{00000001-41D6-4134-B9E9-7FB100522A93}"/>
              </c:ext>
            </c:extLst>
          </c:dPt>
          <c:dPt>
            <c:idx val="1"/>
            <c:bubble3D val="0"/>
            <c:spPr>
              <a:solidFill>
                <a:srgbClr val="FF0000"/>
              </a:solidFill>
            </c:spPr>
            <c:extLst>
              <c:ext xmlns:c16="http://schemas.microsoft.com/office/drawing/2014/chart" uri="{C3380CC4-5D6E-409C-BE32-E72D297353CC}">
                <c16:uniqueId val="{00000003-41D6-4134-B9E9-7FB100522A93}"/>
              </c:ext>
            </c:extLst>
          </c:dPt>
          <c:dPt>
            <c:idx val="2"/>
            <c:bubble3D val="0"/>
            <c:spPr>
              <a:solidFill>
                <a:srgbClr val="8E0000"/>
              </a:solidFill>
            </c:spPr>
            <c:extLst>
              <c:ext xmlns:c16="http://schemas.microsoft.com/office/drawing/2014/chart" uri="{C3380CC4-5D6E-409C-BE32-E72D297353CC}">
                <c16:uniqueId val="{00000005-41D6-4134-B9E9-7FB100522A93}"/>
              </c:ext>
            </c:extLst>
          </c:dPt>
          <c:dPt>
            <c:idx val="3"/>
            <c:bubble3D val="0"/>
            <c:spPr>
              <a:solidFill>
                <a:schemeClr val="bg2">
                  <a:lumMod val="50000"/>
                </a:schemeClr>
              </a:solidFill>
            </c:spPr>
            <c:extLst>
              <c:ext xmlns:c16="http://schemas.microsoft.com/office/drawing/2014/chart" uri="{C3380CC4-5D6E-409C-BE32-E72D297353CC}">
                <c16:uniqueId val="{00000007-41D6-4134-B9E9-7FB100522A93}"/>
              </c:ext>
            </c:extLst>
          </c:dPt>
          <c:dPt>
            <c:idx val="4"/>
            <c:bubble3D val="0"/>
            <c:spPr>
              <a:solidFill>
                <a:srgbClr val="FFC000"/>
              </a:solidFill>
            </c:spPr>
            <c:extLst>
              <c:ext xmlns:c16="http://schemas.microsoft.com/office/drawing/2014/chart" uri="{C3380CC4-5D6E-409C-BE32-E72D297353CC}">
                <c16:uniqueId val="{00000009-41D6-4134-B9E9-7FB100522A93}"/>
              </c:ext>
            </c:extLst>
          </c:dPt>
          <c:dPt>
            <c:idx val="5"/>
            <c:bubble3D val="0"/>
            <c:spPr>
              <a:solidFill>
                <a:srgbClr val="92D050"/>
              </a:solidFill>
            </c:spPr>
            <c:extLst>
              <c:ext xmlns:c16="http://schemas.microsoft.com/office/drawing/2014/chart" uri="{C3380CC4-5D6E-409C-BE32-E72D297353CC}">
                <c16:uniqueId val="{0000000B-41D6-4134-B9E9-7FB100522A93}"/>
              </c:ext>
            </c:extLst>
          </c:dPt>
          <c:dPt>
            <c:idx val="6"/>
            <c:bubble3D val="0"/>
            <c:spPr>
              <a:solidFill>
                <a:srgbClr val="336600"/>
              </a:solidFill>
            </c:spPr>
            <c:extLst>
              <c:ext xmlns:c16="http://schemas.microsoft.com/office/drawing/2014/chart" uri="{C3380CC4-5D6E-409C-BE32-E72D297353CC}">
                <c16:uniqueId val="{0000000D-41D6-4134-B9E9-7FB100522A93}"/>
              </c:ext>
            </c:extLst>
          </c:dPt>
          <c:dPt>
            <c:idx val="7"/>
            <c:bubble3D val="0"/>
            <c:spPr>
              <a:solidFill>
                <a:schemeClr val="bg1">
                  <a:lumMod val="65000"/>
                </a:schemeClr>
              </a:solidFill>
            </c:spPr>
            <c:extLst>
              <c:ext xmlns:c16="http://schemas.microsoft.com/office/drawing/2014/chart" uri="{C3380CC4-5D6E-409C-BE32-E72D297353CC}">
                <c16:uniqueId val="{0000000F-41D6-4134-B9E9-7FB100522A93}"/>
              </c:ext>
            </c:extLst>
          </c:dPt>
          <c:cat>
            <c:strRef>
              <c:f>Metrics!$B$3:$B$10</c:f>
              <c:strCache>
                <c:ptCount val="8"/>
                <c:pt idx="0">
                  <c:v>? Unknown</c:v>
                </c:pt>
                <c:pt idx="1">
                  <c:v>Nonexistent</c:v>
                </c:pt>
                <c:pt idx="2">
                  <c:v>Initial</c:v>
                </c:pt>
                <c:pt idx="3">
                  <c:v>Limited</c:v>
                </c:pt>
                <c:pt idx="4">
                  <c:v>Defined</c:v>
                </c:pt>
                <c:pt idx="5">
                  <c:v>Managed</c:v>
                </c:pt>
                <c:pt idx="6">
                  <c:v>Optimized</c:v>
                </c:pt>
                <c:pt idx="7">
                  <c:v>Not applicable</c:v>
                </c:pt>
              </c:strCache>
            </c:strRef>
          </c:cat>
          <c:val>
            <c:numRef>
              <c:f>Metrics!$D$3:$D$10</c:f>
              <c:numCache>
                <c:formatCode>0%</c:formatCode>
                <c:ptCount val="8"/>
                <c:pt idx="0">
                  <c:v>0</c:v>
                </c:pt>
                <c:pt idx="1">
                  <c:v>0</c:v>
                </c:pt>
                <c:pt idx="2">
                  <c:v>0</c:v>
                </c:pt>
                <c:pt idx="3">
                  <c:v>0</c:v>
                </c:pt>
                <c:pt idx="4">
                  <c:v>0</c:v>
                </c:pt>
                <c:pt idx="5">
                  <c:v>1</c:v>
                </c:pt>
                <c:pt idx="6">
                  <c:v>0</c:v>
                </c:pt>
                <c:pt idx="7">
                  <c:v>0</c:v>
                </c:pt>
              </c:numCache>
            </c:numRef>
          </c:val>
          <c:extLst>
            <c:ext xmlns:c16="http://schemas.microsoft.com/office/drawing/2014/chart" uri="{C3380CC4-5D6E-409C-BE32-E72D297353CC}">
              <c16:uniqueId val="{00000010-41D6-4134-B9E9-7FB100522A93}"/>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sz="1400"/>
          </a:pPr>
          <a:endParaRPr lang="it-IT"/>
        </a:p>
      </c:txPr>
    </c:legend>
    <c:plotVisOnly val="1"/>
    <c:dispBlanksAs val="gap"/>
    <c:showDLblsOverMax val="0"/>
  </c:chart>
  <c:spPr>
    <a:effectLst>
      <a:glow rad="101600">
        <a:schemeClr val="accent1">
          <a:satMod val="175000"/>
          <a:alpha val="40000"/>
        </a:schemeClr>
      </a:glow>
    </a:effectLst>
  </c:sp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1"/>
          <c:order val="0"/>
          <c:tx>
            <c:strRef>
              <c:f>Metrics!$E$2</c:f>
              <c:strCache>
                <c:ptCount val="1"/>
                <c:pt idx="0">
                  <c:v>Proportion of information security controls</c:v>
                </c:pt>
              </c:strCache>
            </c:strRef>
          </c:tx>
          <c:dPt>
            <c:idx val="0"/>
            <c:bubble3D val="0"/>
            <c:spPr>
              <a:solidFill>
                <a:schemeClr val="bg1">
                  <a:lumMod val="95000"/>
                </a:schemeClr>
              </a:solidFill>
            </c:spPr>
            <c:extLst>
              <c:ext xmlns:c16="http://schemas.microsoft.com/office/drawing/2014/chart" uri="{C3380CC4-5D6E-409C-BE32-E72D297353CC}">
                <c16:uniqueId val="{00000001-9A48-4B28-B12D-3141B14A27A9}"/>
              </c:ext>
            </c:extLst>
          </c:dPt>
          <c:dPt>
            <c:idx val="1"/>
            <c:bubble3D val="0"/>
            <c:spPr>
              <a:solidFill>
                <a:srgbClr val="FF0000"/>
              </a:solidFill>
            </c:spPr>
            <c:extLst>
              <c:ext xmlns:c16="http://schemas.microsoft.com/office/drawing/2014/chart" uri="{C3380CC4-5D6E-409C-BE32-E72D297353CC}">
                <c16:uniqueId val="{00000003-9A48-4B28-B12D-3141B14A27A9}"/>
              </c:ext>
            </c:extLst>
          </c:dPt>
          <c:dPt>
            <c:idx val="2"/>
            <c:bubble3D val="0"/>
            <c:spPr>
              <a:solidFill>
                <a:srgbClr val="8E0000"/>
              </a:solidFill>
            </c:spPr>
            <c:extLst>
              <c:ext xmlns:c16="http://schemas.microsoft.com/office/drawing/2014/chart" uri="{C3380CC4-5D6E-409C-BE32-E72D297353CC}">
                <c16:uniqueId val="{00000005-9A48-4B28-B12D-3141B14A27A9}"/>
              </c:ext>
            </c:extLst>
          </c:dPt>
          <c:dPt>
            <c:idx val="3"/>
            <c:bubble3D val="0"/>
            <c:spPr>
              <a:solidFill>
                <a:schemeClr val="bg2">
                  <a:lumMod val="50000"/>
                </a:schemeClr>
              </a:solidFill>
            </c:spPr>
            <c:extLst>
              <c:ext xmlns:c16="http://schemas.microsoft.com/office/drawing/2014/chart" uri="{C3380CC4-5D6E-409C-BE32-E72D297353CC}">
                <c16:uniqueId val="{00000007-9A48-4B28-B12D-3141B14A27A9}"/>
              </c:ext>
            </c:extLst>
          </c:dPt>
          <c:dPt>
            <c:idx val="4"/>
            <c:bubble3D val="0"/>
            <c:spPr>
              <a:solidFill>
                <a:srgbClr val="FFC000"/>
              </a:solidFill>
            </c:spPr>
            <c:extLst>
              <c:ext xmlns:c16="http://schemas.microsoft.com/office/drawing/2014/chart" uri="{C3380CC4-5D6E-409C-BE32-E72D297353CC}">
                <c16:uniqueId val="{00000009-9A48-4B28-B12D-3141B14A27A9}"/>
              </c:ext>
            </c:extLst>
          </c:dPt>
          <c:dPt>
            <c:idx val="5"/>
            <c:bubble3D val="0"/>
            <c:spPr>
              <a:solidFill>
                <a:srgbClr val="92D050"/>
              </a:solidFill>
            </c:spPr>
            <c:extLst>
              <c:ext xmlns:c16="http://schemas.microsoft.com/office/drawing/2014/chart" uri="{C3380CC4-5D6E-409C-BE32-E72D297353CC}">
                <c16:uniqueId val="{0000000B-9A48-4B28-B12D-3141B14A27A9}"/>
              </c:ext>
            </c:extLst>
          </c:dPt>
          <c:dPt>
            <c:idx val="6"/>
            <c:bubble3D val="0"/>
            <c:spPr>
              <a:solidFill>
                <a:srgbClr val="336600"/>
              </a:solidFill>
            </c:spPr>
            <c:extLst>
              <c:ext xmlns:c16="http://schemas.microsoft.com/office/drawing/2014/chart" uri="{C3380CC4-5D6E-409C-BE32-E72D297353CC}">
                <c16:uniqueId val="{0000000D-9A48-4B28-B12D-3141B14A27A9}"/>
              </c:ext>
            </c:extLst>
          </c:dPt>
          <c:dPt>
            <c:idx val="7"/>
            <c:bubble3D val="0"/>
            <c:spPr>
              <a:solidFill>
                <a:schemeClr val="bg1">
                  <a:lumMod val="65000"/>
                </a:schemeClr>
              </a:solidFill>
            </c:spPr>
            <c:extLst>
              <c:ext xmlns:c16="http://schemas.microsoft.com/office/drawing/2014/chart" uri="{C3380CC4-5D6E-409C-BE32-E72D297353CC}">
                <c16:uniqueId val="{0000000F-9A48-4B28-B12D-3141B14A27A9}"/>
              </c:ext>
            </c:extLst>
          </c:dPt>
          <c:cat>
            <c:strRef>
              <c:f>Metrics!$B$3:$B$10</c:f>
              <c:strCache>
                <c:ptCount val="8"/>
                <c:pt idx="0">
                  <c:v>? Unknown</c:v>
                </c:pt>
                <c:pt idx="1">
                  <c:v>Nonexistent</c:v>
                </c:pt>
                <c:pt idx="2">
                  <c:v>Initial</c:v>
                </c:pt>
                <c:pt idx="3">
                  <c:v>Limited</c:v>
                </c:pt>
                <c:pt idx="4">
                  <c:v>Defined</c:v>
                </c:pt>
                <c:pt idx="5">
                  <c:v>Managed</c:v>
                </c:pt>
                <c:pt idx="6">
                  <c:v>Optimized</c:v>
                </c:pt>
                <c:pt idx="7">
                  <c:v>Not applicable</c:v>
                </c:pt>
              </c:strCache>
            </c:strRef>
          </c:cat>
          <c:val>
            <c:numRef>
              <c:f>Metrics!$E$3:$E$10</c:f>
              <c:numCache>
                <c:formatCode>0%</c:formatCode>
                <c:ptCount val="8"/>
                <c:pt idx="0">
                  <c:v>0</c:v>
                </c:pt>
                <c:pt idx="1">
                  <c:v>0</c:v>
                </c:pt>
                <c:pt idx="2">
                  <c:v>0</c:v>
                </c:pt>
                <c:pt idx="3">
                  <c:v>0</c:v>
                </c:pt>
                <c:pt idx="4">
                  <c:v>0</c:v>
                </c:pt>
                <c:pt idx="5">
                  <c:v>1</c:v>
                </c:pt>
                <c:pt idx="6">
                  <c:v>0</c:v>
                </c:pt>
                <c:pt idx="7">
                  <c:v>0</c:v>
                </c:pt>
              </c:numCache>
            </c:numRef>
          </c:val>
          <c:extLst>
            <c:ext xmlns:c16="http://schemas.microsoft.com/office/drawing/2014/chart" uri="{C3380CC4-5D6E-409C-BE32-E72D297353CC}">
              <c16:uniqueId val="{00000010-9A48-4B28-B12D-3141B14A27A9}"/>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sz="1400"/>
          </a:pPr>
          <a:endParaRPr lang="it-IT"/>
        </a:p>
      </c:txPr>
    </c:legend>
    <c:plotVisOnly val="1"/>
    <c:dispBlanksAs val="gap"/>
    <c:showDLblsOverMax val="0"/>
  </c:chart>
  <c:spPr>
    <a:effectLst>
      <a:glow rad="101600">
        <a:schemeClr val="accent1">
          <a:satMod val="175000"/>
          <a:alpha val="40000"/>
        </a:schemeClr>
      </a:glow>
    </a:effectLst>
  </c:sp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352425</xdr:colOff>
      <xdr:row>0</xdr:row>
      <xdr:rowOff>152400</xdr:rowOff>
    </xdr:from>
    <xdr:to>
      <xdr:col>14</xdr:col>
      <xdr:colOff>333375</xdr:colOff>
      <xdr:row>7</xdr:row>
      <xdr:rowOff>733425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323850</xdr:colOff>
      <xdr:row>8</xdr:row>
      <xdr:rowOff>76200</xdr:rowOff>
    </xdr:from>
    <xdr:to>
      <xdr:col>14</xdr:col>
      <xdr:colOff>304800</xdr:colOff>
      <xdr:row>34</xdr:row>
      <xdr:rowOff>142874</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0.10597</cdr:x>
      <cdr:y>0.017</cdr:y>
    </cdr:from>
    <cdr:to>
      <cdr:x>0.91194</cdr:x>
      <cdr:y>0.10046</cdr:y>
    </cdr:to>
    <cdr:sp macro="" textlink="">
      <cdr:nvSpPr>
        <cdr:cNvPr id="2" name="TextBox 1"/>
        <cdr:cNvSpPr txBox="1"/>
      </cdr:nvSpPr>
      <cdr:spPr>
        <a:xfrm xmlns:a="http://schemas.openxmlformats.org/drawingml/2006/main">
          <a:off x="676275" y="104776"/>
          <a:ext cx="5143500" cy="51435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2800" b="1"/>
            <a:t>ISMS implementation status</a:t>
          </a:r>
        </a:p>
      </cdr:txBody>
    </cdr:sp>
  </cdr:relSizeAnchor>
</c:userShapes>
</file>

<file path=xl/drawings/drawing3.xml><?xml version="1.0" encoding="utf-8"?>
<c:userShapes xmlns:c="http://schemas.openxmlformats.org/drawingml/2006/chart">
  <cdr:relSizeAnchor xmlns:cdr="http://schemas.openxmlformats.org/drawingml/2006/chartDrawing">
    <cdr:from>
      <cdr:x>0.10597</cdr:x>
      <cdr:y>0.017</cdr:y>
    </cdr:from>
    <cdr:to>
      <cdr:x>0.91194</cdr:x>
      <cdr:y>0.10046</cdr:y>
    </cdr:to>
    <cdr:sp macro="" textlink="">
      <cdr:nvSpPr>
        <cdr:cNvPr id="2" name="TextBox 1"/>
        <cdr:cNvSpPr txBox="1"/>
      </cdr:nvSpPr>
      <cdr:spPr>
        <a:xfrm xmlns:a="http://schemas.openxmlformats.org/drawingml/2006/main">
          <a:off x="676275" y="104776"/>
          <a:ext cx="5143500" cy="51435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2800" b="1"/>
            <a:t>Infosec controls status</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E74"/>
  <sheetViews>
    <sheetView tabSelected="1" zoomScale="50" zoomScaleNormal="50" workbookViewId="0">
      <pane ySplit="2" topLeftCell="A3" activePane="bottomLeft" state="frozen"/>
      <selection pane="bottomLeft" activeCell="E64" sqref="E64"/>
    </sheetView>
  </sheetViews>
  <sheetFormatPr defaultColWidth="8.7265625" defaultRowHeight="18.25" customHeight="1" x14ac:dyDescent="0.35"/>
  <cols>
    <col min="1" max="1" width="1.1796875" style="16" customWidth="1"/>
    <col min="2" max="2" width="10.26953125" style="15" customWidth="1"/>
    <col min="3" max="3" width="50.453125" style="16" customWidth="1"/>
    <col min="4" max="4" width="15" style="16" customWidth="1"/>
    <col min="5" max="5" width="255.6328125" style="91" customWidth="1"/>
    <col min="6" max="16384" width="8.7265625" style="16"/>
  </cols>
  <sheetData>
    <row r="1" spans="2:31" s="29" customFormat="1" ht="45.75" customHeight="1" thickBot="1" x14ac:dyDescent="0.3">
      <c r="B1" s="97" t="s">
        <v>36</v>
      </c>
      <c r="C1" s="97"/>
      <c r="D1" s="97"/>
      <c r="E1" s="97"/>
    </row>
    <row r="2" spans="2:31" s="15" customFormat="1" ht="21.75" customHeight="1" x14ac:dyDescent="0.5">
      <c r="B2" s="41" t="s">
        <v>178</v>
      </c>
      <c r="C2" s="42" t="s">
        <v>179</v>
      </c>
      <c r="D2" s="42" t="s">
        <v>0</v>
      </c>
      <c r="E2" s="83" t="s">
        <v>15</v>
      </c>
    </row>
    <row r="3" spans="2:31" s="11" customFormat="1" ht="39.65" customHeight="1" x14ac:dyDescent="0.55000000000000004">
      <c r="B3" s="44">
        <v>4</v>
      </c>
      <c r="C3" s="10" t="s">
        <v>140</v>
      </c>
      <c r="D3" s="10"/>
      <c r="E3" s="84"/>
    </row>
    <row r="4" spans="2:31" s="27" customFormat="1" ht="22.5" customHeight="1" x14ac:dyDescent="0.35">
      <c r="B4" s="45">
        <v>4.0999999999999996</v>
      </c>
      <c r="C4" s="37" t="s">
        <v>140</v>
      </c>
      <c r="D4" s="38"/>
      <c r="E4" s="85"/>
      <c r="F4" s="28"/>
      <c r="G4" s="28"/>
      <c r="H4" s="28"/>
      <c r="I4" s="28"/>
      <c r="J4" s="28"/>
      <c r="K4" s="28"/>
      <c r="L4" s="28"/>
      <c r="M4" s="28"/>
      <c r="N4" s="28"/>
      <c r="O4" s="28"/>
      <c r="P4" s="28"/>
      <c r="Q4" s="28"/>
      <c r="R4" s="28"/>
      <c r="S4" s="28"/>
      <c r="T4" s="28"/>
      <c r="U4" s="28"/>
      <c r="V4" s="28"/>
      <c r="W4" s="28"/>
      <c r="X4" s="28"/>
      <c r="Y4" s="28"/>
      <c r="Z4" s="28"/>
      <c r="AA4" s="28"/>
      <c r="AB4" s="28"/>
      <c r="AC4" s="28"/>
      <c r="AD4" s="28"/>
      <c r="AE4" s="28"/>
    </row>
    <row r="5" spans="2:31" s="25" customFormat="1" ht="237" customHeight="1" x14ac:dyDescent="0.25">
      <c r="B5" s="46">
        <v>4.0999999999999996</v>
      </c>
      <c r="C5" s="76" t="s">
        <v>236</v>
      </c>
      <c r="D5" s="92" t="s">
        <v>11</v>
      </c>
      <c r="E5" s="98" t="s">
        <v>371</v>
      </c>
    </row>
    <row r="6" spans="2:31" s="27" customFormat="1" ht="22.5" customHeight="1" x14ac:dyDescent="0.35">
      <c r="B6" s="45">
        <v>4.2</v>
      </c>
      <c r="C6" s="37" t="s">
        <v>237</v>
      </c>
      <c r="D6" s="93"/>
      <c r="E6" s="99"/>
      <c r="F6" s="28"/>
      <c r="G6" s="28"/>
      <c r="H6" s="28"/>
      <c r="I6" s="28"/>
      <c r="J6" s="28"/>
      <c r="K6" s="28"/>
      <c r="L6" s="28"/>
      <c r="M6" s="28"/>
      <c r="N6" s="28"/>
      <c r="O6" s="28"/>
      <c r="P6" s="28"/>
      <c r="Q6" s="28"/>
      <c r="R6" s="28"/>
      <c r="S6" s="28"/>
      <c r="T6" s="28"/>
      <c r="U6" s="28"/>
      <c r="V6" s="28"/>
      <c r="W6" s="28"/>
      <c r="X6" s="28"/>
      <c r="Y6" s="28"/>
      <c r="Z6" s="28"/>
      <c r="AA6" s="28"/>
      <c r="AB6" s="28"/>
      <c r="AC6" s="28"/>
      <c r="AD6" s="28"/>
      <c r="AE6" s="28"/>
    </row>
    <row r="7" spans="2:31" s="25" customFormat="1" ht="268.14999999999998" customHeight="1" x14ac:dyDescent="0.25">
      <c r="B7" s="46" t="s">
        <v>1</v>
      </c>
      <c r="C7" s="76" t="s">
        <v>238</v>
      </c>
      <c r="D7" s="92" t="s">
        <v>11</v>
      </c>
      <c r="E7" s="86" t="s">
        <v>372</v>
      </c>
    </row>
    <row r="8" spans="2:31" s="25" customFormat="1" ht="22.5" customHeight="1" x14ac:dyDescent="0.25">
      <c r="B8" s="46" t="s">
        <v>2</v>
      </c>
      <c r="C8" s="76" t="s">
        <v>239</v>
      </c>
      <c r="D8" s="92" t="s">
        <v>11</v>
      </c>
      <c r="E8" s="86" t="s">
        <v>370</v>
      </c>
    </row>
    <row r="9" spans="2:31" s="27" customFormat="1" ht="22.5" customHeight="1" x14ac:dyDescent="0.35">
      <c r="B9" s="45">
        <v>4.3</v>
      </c>
      <c r="C9" s="37" t="s">
        <v>240</v>
      </c>
      <c r="D9" s="93"/>
      <c r="E9" s="78"/>
      <c r="F9" s="28"/>
      <c r="G9" s="28"/>
      <c r="H9" s="28"/>
      <c r="I9" s="28"/>
      <c r="J9" s="28"/>
      <c r="K9" s="28"/>
      <c r="L9" s="28"/>
      <c r="M9" s="28"/>
      <c r="N9" s="28"/>
      <c r="O9" s="28"/>
      <c r="P9" s="28"/>
      <c r="Q9" s="28"/>
      <c r="R9" s="28"/>
      <c r="S9" s="28"/>
      <c r="T9" s="28"/>
      <c r="U9" s="28"/>
      <c r="V9" s="28"/>
      <c r="W9" s="28"/>
      <c r="X9" s="28"/>
      <c r="Y9" s="28"/>
      <c r="Z9" s="28"/>
      <c r="AA9" s="28"/>
      <c r="AB9" s="28"/>
      <c r="AC9" s="28"/>
      <c r="AD9" s="28"/>
      <c r="AE9" s="28"/>
    </row>
    <row r="10" spans="2:31" s="25" customFormat="1" ht="84.65" customHeight="1" x14ac:dyDescent="0.25">
      <c r="B10" s="46">
        <v>4.3</v>
      </c>
      <c r="C10" s="76" t="s">
        <v>241</v>
      </c>
      <c r="D10" s="92" t="s">
        <v>11</v>
      </c>
      <c r="E10" s="86" t="s">
        <v>375</v>
      </c>
    </row>
    <row r="11" spans="2:31" s="27" customFormat="1" ht="22.5" customHeight="1" x14ac:dyDescent="0.35">
      <c r="B11" s="45">
        <v>4.4000000000000004</v>
      </c>
      <c r="C11" s="37" t="s">
        <v>17</v>
      </c>
      <c r="D11" s="93"/>
      <c r="E11" s="7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row>
    <row r="12" spans="2:31" s="25" customFormat="1" ht="95.5" customHeight="1" x14ac:dyDescent="0.25">
      <c r="B12" s="46">
        <v>4.4000000000000004</v>
      </c>
      <c r="C12" s="76" t="s">
        <v>139</v>
      </c>
      <c r="D12" s="92" t="s">
        <v>11</v>
      </c>
      <c r="E12" s="86" t="s">
        <v>374</v>
      </c>
    </row>
    <row r="13" spans="2:31" s="11" customFormat="1" ht="39.65" customHeight="1" x14ac:dyDescent="0.55000000000000004">
      <c r="B13" s="44">
        <v>5</v>
      </c>
      <c r="C13" s="12" t="s">
        <v>3</v>
      </c>
      <c r="D13" s="94"/>
      <c r="E13" s="87"/>
    </row>
    <row r="14" spans="2:31" s="27" customFormat="1" ht="22.5" customHeight="1" x14ac:dyDescent="0.35">
      <c r="B14" s="45">
        <v>5.0999999999999996</v>
      </c>
      <c r="C14" s="37" t="s">
        <v>242</v>
      </c>
      <c r="D14" s="93"/>
      <c r="E14" s="7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row>
    <row r="15" spans="2:31" s="25" customFormat="1" ht="66.650000000000006" customHeight="1" x14ac:dyDescent="0.25">
      <c r="B15" s="46">
        <v>5.0999999999999996</v>
      </c>
      <c r="C15" s="76" t="s">
        <v>243</v>
      </c>
      <c r="D15" s="92" t="s">
        <v>11</v>
      </c>
      <c r="E15" s="86" t="s">
        <v>397</v>
      </c>
    </row>
    <row r="16" spans="2:31" s="27" customFormat="1" ht="22.5" customHeight="1" x14ac:dyDescent="0.35">
      <c r="B16" s="45">
        <v>5.2</v>
      </c>
      <c r="C16" s="37" t="s">
        <v>244</v>
      </c>
      <c r="D16" s="93"/>
      <c r="E16" s="7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row>
    <row r="17" spans="2:31" s="25" customFormat="1" ht="223.9" customHeight="1" x14ac:dyDescent="0.25">
      <c r="B17" s="46">
        <v>5.2</v>
      </c>
      <c r="C17" s="76" t="s">
        <v>245</v>
      </c>
      <c r="D17" s="92" t="s">
        <v>11</v>
      </c>
      <c r="E17" s="86" t="s">
        <v>373</v>
      </c>
    </row>
    <row r="18" spans="2:31" s="27" customFormat="1" ht="43.9" customHeight="1" x14ac:dyDescent="0.35">
      <c r="B18" s="45">
        <v>5.3</v>
      </c>
      <c r="C18" s="37" t="s">
        <v>246</v>
      </c>
      <c r="D18" s="93"/>
      <c r="E18" s="7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row>
    <row r="19" spans="2:31" s="25" customFormat="1" ht="61.9" customHeight="1" x14ac:dyDescent="0.25">
      <c r="B19" s="46">
        <v>5.3</v>
      </c>
      <c r="C19" s="76" t="s">
        <v>247</v>
      </c>
      <c r="D19" s="92" t="s">
        <v>11</v>
      </c>
      <c r="E19" s="86" t="s">
        <v>376</v>
      </c>
    </row>
    <row r="20" spans="2:31" s="11" customFormat="1" ht="39.65" customHeight="1" x14ac:dyDescent="0.55000000000000004">
      <c r="B20" s="44">
        <v>6</v>
      </c>
      <c r="C20" s="12" t="s">
        <v>249</v>
      </c>
      <c r="D20" s="94"/>
      <c r="E20" s="87"/>
    </row>
    <row r="21" spans="2:31" s="27" customFormat="1" ht="22.5" customHeight="1" x14ac:dyDescent="0.35">
      <c r="B21" s="45">
        <v>6.1</v>
      </c>
      <c r="C21" s="37" t="s">
        <v>248</v>
      </c>
      <c r="D21" s="93"/>
      <c r="E21" s="7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row>
    <row r="22" spans="2:31" s="25" customFormat="1" ht="214.15" customHeight="1" collapsed="1" x14ac:dyDescent="0.25">
      <c r="B22" s="46" t="s">
        <v>4</v>
      </c>
      <c r="C22" s="26" t="s">
        <v>250</v>
      </c>
      <c r="D22" s="92" t="s">
        <v>11</v>
      </c>
      <c r="E22" s="86" t="s">
        <v>377</v>
      </c>
    </row>
    <row r="23" spans="2:31" s="25" customFormat="1" ht="115.15" customHeight="1" collapsed="1" x14ac:dyDescent="0.25">
      <c r="B23" s="46" t="s">
        <v>5</v>
      </c>
      <c r="C23" s="26" t="s">
        <v>251</v>
      </c>
      <c r="D23" s="92" t="s">
        <v>11</v>
      </c>
      <c r="E23" s="86" t="s">
        <v>378</v>
      </c>
    </row>
    <row r="24" spans="2:31" s="25" customFormat="1" ht="196.9" customHeight="1" collapsed="1" x14ac:dyDescent="0.25">
      <c r="B24" s="46" t="s">
        <v>6</v>
      </c>
      <c r="C24" s="26" t="s">
        <v>252</v>
      </c>
      <c r="D24" s="92" t="s">
        <v>11</v>
      </c>
      <c r="E24" s="86" t="s">
        <v>379</v>
      </c>
    </row>
    <row r="25" spans="2:31" s="27" customFormat="1" ht="22.5" customHeight="1" x14ac:dyDescent="0.35">
      <c r="B25" s="45">
        <v>6.2</v>
      </c>
      <c r="C25" s="37" t="s">
        <v>287</v>
      </c>
      <c r="D25" s="93"/>
      <c r="E25" s="7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row>
    <row r="26" spans="2:31" s="27" customFormat="1" ht="108.65" customHeight="1" x14ac:dyDescent="0.35">
      <c r="B26" s="46">
        <v>6.2</v>
      </c>
      <c r="C26" s="26" t="s">
        <v>253</v>
      </c>
      <c r="D26" s="92" t="s">
        <v>11</v>
      </c>
      <c r="E26" s="86" t="s">
        <v>380</v>
      </c>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row>
    <row r="27" spans="2:31" s="27" customFormat="1" ht="22.5" customHeight="1" x14ac:dyDescent="0.35">
      <c r="B27" s="45">
        <v>6.3</v>
      </c>
      <c r="C27" s="37" t="s">
        <v>254</v>
      </c>
      <c r="D27" s="93"/>
      <c r="E27" s="7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row>
    <row r="28" spans="2:31" s="25" customFormat="1" ht="40.9" customHeight="1" collapsed="1" x14ac:dyDescent="0.25">
      <c r="B28" s="46">
        <v>6.3</v>
      </c>
      <c r="C28" s="26" t="s">
        <v>255</v>
      </c>
      <c r="D28" s="92" t="s">
        <v>11</v>
      </c>
      <c r="E28" s="86" t="s">
        <v>381</v>
      </c>
    </row>
    <row r="29" spans="2:31" s="14" customFormat="1" ht="39.65" customHeight="1" x14ac:dyDescent="0.55000000000000004">
      <c r="B29" s="44">
        <v>7</v>
      </c>
      <c r="C29" s="12" t="s">
        <v>256</v>
      </c>
      <c r="D29" s="94"/>
      <c r="E29" s="87"/>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row>
    <row r="30" spans="2:31" s="27" customFormat="1" ht="22.5" customHeight="1" x14ac:dyDescent="0.35">
      <c r="B30" s="45">
        <v>7.1</v>
      </c>
      <c r="C30" s="37" t="s">
        <v>257</v>
      </c>
      <c r="D30" s="93"/>
      <c r="E30" s="7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row>
    <row r="31" spans="2:31" s="25" customFormat="1" ht="73.900000000000006" customHeight="1" collapsed="1" x14ac:dyDescent="0.25">
      <c r="B31" s="46">
        <v>7.1</v>
      </c>
      <c r="C31" s="76" t="s">
        <v>259</v>
      </c>
      <c r="D31" s="92" t="s">
        <v>11</v>
      </c>
      <c r="E31" s="86" t="s">
        <v>382</v>
      </c>
    </row>
    <row r="32" spans="2:31" s="27" customFormat="1" ht="22.5" customHeight="1" x14ac:dyDescent="0.35">
      <c r="B32" s="45">
        <v>7.2</v>
      </c>
      <c r="C32" s="37" t="s">
        <v>258</v>
      </c>
      <c r="D32" s="93"/>
      <c r="E32" s="7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row>
    <row r="33" spans="2:31" s="25" customFormat="1" ht="329.5" customHeight="1" collapsed="1" x14ac:dyDescent="0.25">
      <c r="B33" s="46">
        <v>7.2</v>
      </c>
      <c r="C33" s="26" t="s">
        <v>260</v>
      </c>
      <c r="D33" s="92" t="s">
        <v>11</v>
      </c>
      <c r="E33" s="86" t="s">
        <v>383</v>
      </c>
    </row>
    <row r="34" spans="2:31" s="27" customFormat="1" ht="22.5" customHeight="1" x14ac:dyDescent="0.35">
      <c r="B34" s="45">
        <v>7.3</v>
      </c>
      <c r="C34" s="37" t="s">
        <v>261</v>
      </c>
      <c r="D34" s="93"/>
      <c r="E34" s="7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row>
    <row r="35" spans="2:31" s="25" customFormat="1" ht="80.5" customHeight="1" collapsed="1" x14ac:dyDescent="0.25">
      <c r="B35" s="46">
        <v>7.3</v>
      </c>
      <c r="C35" s="26" t="s">
        <v>262</v>
      </c>
      <c r="D35" s="92" t="s">
        <v>11</v>
      </c>
      <c r="E35" s="86" t="s">
        <v>384</v>
      </c>
    </row>
    <row r="36" spans="2:31" s="27" customFormat="1" ht="22.5" customHeight="1" x14ac:dyDescent="0.35">
      <c r="B36" s="45">
        <v>7.4</v>
      </c>
      <c r="C36" s="37" t="s">
        <v>263</v>
      </c>
      <c r="D36" s="93"/>
      <c r="E36" s="7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row>
    <row r="37" spans="2:31" s="25" customFormat="1" ht="229.9" customHeight="1" collapsed="1" x14ac:dyDescent="0.25">
      <c r="B37" s="46">
        <v>7.4</v>
      </c>
      <c r="C37" s="26" t="s">
        <v>264</v>
      </c>
      <c r="D37" s="92" t="s">
        <v>11</v>
      </c>
      <c r="E37" s="88" t="s">
        <v>385</v>
      </c>
    </row>
    <row r="38" spans="2:31" s="27" customFormat="1" ht="22.5" customHeight="1" x14ac:dyDescent="0.35">
      <c r="B38" s="45">
        <v>7.5</v>
      </c>
      <c r="C38" s="37" t="s">
        <v>288</v>
      </c>
      <c r="D38" s="93"/>
      <c r="E38" s="7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row>
    <row r="39" spans="2:31" s="25" customFormat="1" ht="280.89999999999998" customHeight="1" collapsed="1" x14ac:dyDescent="0.25">
      <c r="B39" s="46" t="s">
        <v>18</v>
      </c>
      <c r="C39" s="26" t="s">
        <v>265</v>
      </c>
      <c r="D39" s="92" t="s">
        <v>11</v>
      </c>
      <c r="E39" s="86" t="s">
        <v>386</v>
      </c>
    </row>
    <row r="40" spans="2:31" s="25" customFormat="1" ht="77.5" customHeight="1" collapsed="1" x14ac:dyDescent="0.25">
      <c r="B40" s="46" t="s">
        <v>19</v>
      </c>
      <c r="C40" s="26" t="s">
        <v>266</v>
      </c>
      <c r="D40" s="92" t="s">
        <v>11</v>
      </c>
      <c r="E40" s="86" t="s">
        <v>387</v>
      </c>
    </row>
    <row r="41" spans="2:31" s="25" customFormat="1" ht="125.5" customHeight="1" collapsed="1" x14ac:dyDescent="0.25">
      <c r="B41" s="46" t="s">
        <v>20</v>
      </c>
      <c r="C41" s="77" t="s">
        <v>267</v>
      </c>
      <c r="D41" s="92" t="s">
        <v>11</v>
      </c>
      <c r="E41" s="86" t="s">
        <v>388</v>
      </c>
    </row>
    <row r="42" spans="2:31" s="14" customFormat="1" ht="39.65" customHeight="1" x14ac:dyDescent="0.55000000000000004">
      <c r="B42" s="44">
        <v>8</v>
      </c>
      <c r="C42" s="12" t="s">
        <v>268</v>
      </c>
      <c r="D42" s="94"/>
      <c r="E42" s="87"/>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row>
    <row r="43" spans="2:31" s="27" customFormat="1" ht="22.5" customHeight="1" x14ac:dyDescent="0.35">
      <c r="B43" s="45">
        <v>8.1</v>
      </c>
      <c r="C43" s="37" t="s">
        <v>269</v>
      </c>
      <c r="D43" s="93"/>
      <c r="E43" s="7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row>
    <row r="44" spans="2:31" s="25" customFormat="1" ht="156" customHeight="1" collapsed="1" x14ac:dyDescent="0.25">
      <c r="B44" s="46">
        <v>8.1</v>
      </c>
      <c r="C44" s="26" t="s">
        <v>270</v>
      </c>
      <c r="D44" s="92" t="s">
        <v>11</v>
      </c>
      <c r="E44" s="86" t="s">
        <v>389</v>
      </c>
    </row>
    <row r="45" spans="2:31" s="27" customFormat="1" ht="30.65" customHeight="1" x14ac:dyDescent="0.35">
      <c r="B45" s="45">
        <v>8.1999999999999993</v>
      </c>
      <c r="C45" s="37" t="s">
        <v>271</v>
      </c>
      <c r="D45" s="93"/>
      <c r="E45" s="7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row>
    <row r="46" spans="2:31" s="25" customFormat="1" ht="113.5" customHeight="1" collapsed="1" x14ac:dyDescent="0.25">
      <c r="B46" s="46">
        <v>8.1999999999999993</v>
      </c>
      <c r="C46" s="77" t="s">
        <v>272</v>
      </c>
      <c r="D46" s="92" t="s">
        <v>11</v>
      </c>
      <c r="E46" s="86" t="s">
        <v>390</v>
      </c>
    </row>
    <row r="47" spans="2:31" s="27" customFormat="1" ht="22.5" customHeight="1" x14ac:dyDescent="0.35">
      <c r="B47" s="45">
        <v>8.3000000000000007</v>
      </c>
      <c r="C47" s="37" t="s">
        <v>273</v>
      </c>
      <c r="D47" s="93"/>
      <c r="E47" s="7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row>
    <row r="48" spans="2:31" s="25" customFormat="1" ht="409.15" customHeight="1" collapsed="1" x14ac:dyDescent="0.25">
      <c r="B48" s="46">
        <v>8.3000000000000007</v>
      </c>
      <c r="C48" s="26" t="s">
        <v>274</v>
      </c>
      <c r="D48" s="92" t="s">
        <v>11</v>
      </c>
      <c r="E48" s="86" t="s">
        <v>391</v>
      </c>
    </row>
    <row r="49" spans="1:31" s="14" customFormat="1" ht="39.65" customHeight="1" x14ac:dyDescent="0.55000000000000004">
      <c r="B49" s="44">
        <v>9</v>
      </c>
      <c r="C49" s="12" t="s">
        <v>275</v>
      </c>
      <c r="D49" s="94"/>
      <c r="E49" s="87"/>
    </row>
    <row r="50" spans="1:31" s="27" customFormat="1" ht="22.5" customHeight="1" x14ac:dyDescent="0.35">
      <c r="B50" s="45">
        <v>9.1</v>
      </c>
      <c r="C50" s="37" t="s">
        <v>276</v>
      </c>
      <c r="D50" s="93"/>
      <c r="E50" s="7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row>
    <row r="51" spans="1:31" s="25" customFormat="1" ht="147" customHeight="1" collapsed="1" x14ac:dyDescent="0.25">
      <c r="B51" s="46">
        <v>9.1</v>
      </c>
      <c r="C51" s="77" t="s">
        <v>277</v>
      </c>
      <c r="D51" s="92" t="s">
        <v>11</v>
      </c>
      <c r="E51" s="86" t="s">
        <v>392</v>
      </c>
    </row>
    <row r="52" spans="1:31" s="27" customFormat="1" ht="22.5" customHeight="1" x14ac:dyDescent="0.35">
      <c r="B52" s="45">
        <v>9.1999999999999993</v>
      </c>
      <c r="C52" s="37" t="s">
        <v>278</v>
      </c>
      <c r="D52" s="93"/>
      <c r="E52" s="7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row>
    <row r="53" spans="1:31" s="25" customFormat="1" ht="215.5" customHeight="1" collapsed="1" x14ac:dyDescent="0.25">
      <c r="B53" s="46">
        <v>9.1999999999999993</v>
      </c>
      <c r="C53" s="26" t="s">
        <v>279</v>
      </c>
      <c r="D53" s="92" t="s">
        <v>11</v>
      </c>
      <c r="E53" s="86" t="s">
        <v>393</v>
      </c>
    </row>
    <row r="54" spans="1:31" s="27" customFormat="1" ht="22.5" customHeight="1" x14ac:dyDescent="0.35">
      <c r="B54" s="45">
        <v>9.3000000000000007</v>
      </c>
      <c r="C54" s="37" t="s">
        <v>280</v>
      </c>
      <c r="D54" s="93"/>
      <c r="E54" s="7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row>
    <row r="55" spans="1:31" s="25" customFormat="1" ht="307.14999999999998" customHeight="1" collapsed="1" x14ac:dyDescent="0.25">
      <c r="B55" s="46">
        <v>9.3000000000000007</v>
      </c>
      <c r="C55" s="26" t="s">
        <v>281</v>
      </c>
      <c r="D55" s="92" t="s">
        <v>11</v>
      </c>
      <c r="E55" s="86" t="s">
        <v>394</v>
      </c>
    </row>
    <row r="56" spans="1:31" s="14" customFormat="1" ht="39.65" customHeight="1" x14ac:dyDescent="0.55000000000000004">
      <c r="B56" s="44">
        <v>10</v>
      </c>
      <c r="C56" s="12" t="s">
        <v>282</v>
      </c>
      <c r="D56" s="94"/>
      <c r="E56" s="87"/>
    </row>
    <row r="57" spans="1:31" s="27" customFormat="1" ht="22.5" customHeight="1" x14ac:dyDescent="0.35">
      <c r="B57" s="45">
        <v>10.1</v>
      </c>
      <c r="C57" s="37" t="s">
        <v>283</v>
      </c>
      <c r="D57" s="93"/>
      <c r="E57" s="7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row>
    <row r="58" spans="1:31" s="25" customFormat="1" ht="76.900000000000006" customHeight="1" collapsed="1" x14ac:dyDescent="0.25">
      <c r="B58" s="46">
        <v>10.1</v>
      </c>
      <c r="C58" s="26" t="s">
        <v>284</v>
      </c>
      <c r="D58" s="92" t="s">
        <v>11</v>
      </c>
      <c r="E58" s="86" t="s">
        <v>395</v>
      </c>
    </row>
    <row r="59" spans="1:31" s="27" customFormat="1" ht="31.15" customHeight="1" x14ac:dyDescent="0.35">
      <c r="B59" s="45">
        <v>10.199999999999999</v>
      </c>
      <c r="C59" s="37" t="s">
        <v>286</v>
      </c>
      <c r="D59" s="93"/>
      <c r="E59" s="7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row>
    <row r="60" spans="1:31" s="25" customFormat="1" ht="97.9" customHeight="1" collapsed="1" thickBot="1" x14ac:dyDescent="0.3">
      <c r="B60" s="47">
        <v>10.199999999999999</v>
      </c>
      <c r="C60" s="48" t="s">
        <v>285</v>
      </c>
      <c r="D60" s="95" t="s">
        <v>11</v>
      </c>
      <c r="E60" s="89" t="s">
        <v>396</v>
      </c>
    </row>
    <row r="61" spans="1:31" ht="18.25" customHeight="1" x14ac:dyDescent="0.35">
      <c r="D61" s="96">
        <f>COUNTA(D5:D60)</f>
        <v>28</v>
      </c>
      <c r="E61" s="90" t="s">
        <v>31</v>
      </c>
    </row>
    <row r="62" spans="1:31" ht="18.25" customHeight="1" x14ac:dyDescent="0.35">
      <c r="D62" s="17"/>
    </row>
    <row r="63" spans="1:31" ht="18.25" customHeight="1" x14ac:dyDescent="0.35">
      <c r="A63" s="18"/>
      <c r="B63" s="16"/>
      <c r="D63" s="19"/>
    </row>
    <row r="64" spans="1:31" ht="38.65" customHeight="1" x14ac:dyDescent="0.3">
      <c r="A64" s="1">
        <f>COUNTIF($D$5:$D$60,"Non Existent")</f>
        <v>0</v>
      </c>
      <c r="B64" s="16"/>
      <c r="D64" s="20"/>
    </row>
    <row r="65" spans="1:4" ht="38.65" customHeight="1" x14ac:dyDescent="0.3">
      <c r="A65" s="1">
        <f>COUNTIF($D$5:$D$60,"Initial")</f>
        <v>0</v>
      </c>
      <c r="B65" s="16"/>
      <c r="D65" s="20"/>
    </row>
    <row r="66" spans="1:4" ht="38.65" customHeight="1" x14ac:dyDescent="0.3">
      <c r="A66" s="1">
        <f>COUNTIF($D$5:$D$60,"Limited")</f>
        <v>0</v>
      </c>
      <c r="B66" s="16"/>
      <c r="D66" s="20"/>
    </row>
    <row r="67" spans="1:4" ht="38.65" customHeight="1" x14ac:dyDescent="0.3">
      <c r="A67" s="1">
        <f>COUNTIF($D$5:$D$58,"Defined")</f>
        <v>0</v>
      </c>
      <c r="B67" s="16"/>
      <c r="D67" s="20"/>
    </row>
    <row r="68" spans="1:4" ht="38.65" customHeight="1" x14ac:dyDescent="0.3">
      <c r="A68" s="1">
        <f>COUNTIF($D$5:$D$60,"managed")</f>
        <v>28</v>
      </c>
      <c r="B68" s="16"/>
      <c r="D68" s="20"/>
    </row>
    <row r="69" spans="1:4" ht="38.65" customHeight="1" x14ac:dyDescent="0.3">
      <c r="A69" s="1">
        <f>COUNTIF($D$5:$D$60,"Optimized")</f>
        <v>0</v>
      </c>
      <c r="B69" s="16"/>
      <c r="D69" s="20"/>
    </row>
    <row r="70" spans="1:4" ht="38.65" customHeight="1" x14ac:dyDescent="0.3">
      <c r="A70" s="1">
        <f>COUNTIF($D$5:$D$58,"Not Applicable")</f>
        <v>0</v>
      </c>
      <c r="B70" s="16"/>
      <c r="D70" s="20"/>
    </row>
    <row r="71" spans="1:4" ht="38.65" customHeight="1" x14ac:dyDescent="0.3">
      <c r="A71" s="1">
        <f>COUNTIF($D$5:$D$60,"Not Checked")</f>
        <v>0</v>
      </c>
      <c r="B71" s="16"/>
      <c r="D71" s="20"/>
    </row>
    <row r="72" spans="1:4" ht="18.25" customHeight="1" x14ac:dyDescent="0.35">
      <c r="A72" s="21">
        <f>SUM(A64:A71)</f>
        <v>28</v>
      </c>
      <c r="B72" s="22"/>
      <c r="C72" s="23"/>
    </row>
    <row r="74" spans="1:4" ht="18.25" customHeight="1" x14ac:dyDescent="0.3">
      <c r="A74" s="24"/>
      <c r="B74" s="24"/>
    </row>
  </sheetData>
  <sheetProtection selectLockedCells="1" selectUnlockedCells="1"/>
  <conditionalFormatting sqref="D7:D8">
    <cfRule type="containsText" dxfId="385" priority="405" operator="containsText" text="Initial">
      <formula>NOT(ISERROR(SEARCH("Initial",D7)))</formula>
    </cfRule>
    <cfRule type="containsText" dxfId="384" priority="406" operator="containsText" text="Nonexistent">
      <formula>NOT(ISERROR(SEARCH("Nonexistent",D7)))</formula>
    </cfRule>
    <cfRule type="expression" dxfId="383" priority="407" stopIfTrue="1">
      <formula>_xludf.STYLE(VLOOKUP(D7,#REF!,2,0))</formula>
    </cfRule>
  </conditionalFormatting>
  <conditionalFormatting sqref="D10">
    <cfRule type="containsText" dxfId="382" priority="394" operator="containsText" text="Initial">
      <formula>NOT(ISERROR(SEARCH("Initial",D10)))</formula>
    </cfRule>
    <cfRule type="containsText" dxfId="381" priority="395" operator="containsText" text="Nonexistent">
      <formula>NOT(ISERROR(SEARCH("Nonexistent",D10)))</formula>
    </cfRule>
    <cfRule type="expression" dxfId="380" priority="396" stopIfTrue="1">
      <formula>_xludf.STYLE(VLOOKUP(D10,#REF!,2,0))</formula>
    </cfRule>
  </conditionalFormatting>
  <conditionalFormatting sqref="D12">
    <cfRule type="containsText" dxfId="379" priority="383" operator="containsText" text="Initial">
      <formula>NOT(ISERROR(SEARCH("Initial",D12)))</formula>
    </cfRule>
    <cfRule type="containsText" dxfId="378" priority="384" operator="containsText" text="Nonexistent">
      <formula>NOT(ISERROR(SEARCH("Nonexistent",D12)))</formula>
    </cfRule>
    <cfRule type="expression" dxfId="377" priority="385" stopIfTrue="1">
      <formula>_xludf.STYLE(VLOOKUP(D12,#REF!,2,0))</formula>
    </cfRule>
  </conditionalFormatting>
  <conditionalFormatting sqref="D19">
    <cfRule type="containsText" dxfId="376" priority="350" operator="containsText" text="Initial">
      <formula>NOT(ISERROR(SEARCH("Initial",D19)))</formula>
    </cfRule>
    <cfRule type="containsText" dxfId="375" priority="351" operator="containsText" text="Nonexistent">
      <formula>NOT(ISERROR(SEARCH("Nonexistent",D19)))</formula>
    </cfRule>
    <cfRule type="expression" dxfId="374" priority="352" stopIfTrue="1">
      <formula>_xludf.STYLE(VLOOKUP(D19,#REF!,2,0))</formula>
    </cfRule>
  </conditionalFormatting>
  <conditionalFormatting sqref="D22:D24">
    <cfRule type="containsText" dxfId="373" priority="240" operator="containsText" text="Initial">
      <formula>NOT(ISERROR(SEARCH("Initial",D22)))</formula>
    </cfRule>
    <cfRule type="containsText" dxfId="372" priority="241" operator="containsText" text="Nonexistent">
      <formula>NOT(ISERROR(SEARCH("Nonexistent",D22)))</formula>
    </cfRule>
    <cfRule type="expression" dxfId="371" priority="242" stopIfTrue="1">
      <formula>_xludf.STYLE(VLOOKUP(D22,#REF!,2,0))</formula>
    </cfRule>
  </conditionalFormatting>
  <conditionalFormatting sqref="D26">
    <cfRule type="containsText" dxfId="370" priority="229" operator="containsText" text="Initial">
      <formula>NOT(ISERROR(SEARCH("Initial",D26)))</formula>
    </cfRule>
    <cfRule type="containsText" dxfId="369" priority="230" operator="containsText" text="Nonexistent">
      <formula>NOT(ISERROR(SEARCH("Nonexistent",D26)))</formula>
    </cfRule>
    <cfRule type="expression" dxfId="368" priority="231" stopIfTrue="1">
      <formula>_xludf.STYLE(VLOOKUP(D26,#REF!,2,0))</formula>
    </cfRule>
  </conditionalFormatting>
  <conditionalFormatting sqref="D31">
    <cfRule type="containsText" dxfId="367" priority="207" operator="containsText" text="Initial">
      <formula>NOT(ISERROR(SEARCH("Initial",D31)))</formula>
    </cfRule>
    <cfRule type="containsText" dxfId="366" priority="208" operator="containsText" text="Nonexistent">
      <formula>NOT(ISERROR(SEARCH("Nonexistent",D31)))</formula>
    </cfRule>
    <cfRule type="expression" dxfId="365" priority="209" stopIfTrue="1">
      <formula>_xludf.STYLE(VLOOKUP(D31,#REF!,2,0))</formula>
    </cfRule>
  </conditionalFormatting>
  <conditionalFormatting sqref="D33">
    <cfRule type="containsText" dxfId="364" priority="196" operator="containsText" text="Initial">
      <formula>NOT(ISERROR(SEARCH("Initial",D33)))</formula>
    </cfRule>
    <cfRule type="containsText" dxfId="363" priority="197" operator="containsText" text="Nonexistent">
      <formula>NOT(ISERROR(SEARCH("Nonexistent",D33)))</formula>
    </cfRule>
    <cfRule type="expression" dxfId="362" priority="198" stopIfTrue="1">
      <formula>_xludf.STYLE(VLOOKUP(D33,#REF!,2,0))</formula>
    </cfRule>
  </conditionalFormatting>
  <conditionalFormatting sqref="D35">
    <cfRule type="containsText" dxfId="361" priority="185" operator="containsText" text="Initial">
      <formula>NOT(ISERROR(SEARCH("Initial",D35)))</formula>
    </cfRule>
    <cfRule type="containsText" dxfId="360" priority="186" operator="containsText" text="Nonexistent">
      <formula>NOT(ISERROR(SEARCH("Nonexistent",D35)))</formula>
    </cfRule>
    <cfRule type="expression" dxfId="359" priority="187" stopIfTrue="1">
      <formula>_xludf.STYLE(VLOOKUP(D35,#REF!,2,0))</formula>
    </cfRule>
  </conditionalFormatting>
  <conditionalFormatting sqref="D37">
    <cfRule type="containsText" dxfId="358" priority="174" operator="containsText" text="Initial">
      <formula>NOT(ISERROR(SEARCH("Initial",D37)))</formula>
    </cfRule>
    <cfRule type="containsText" dxfId="357" priority="175" operator="containsText" text="Nonexistent">
      <formula>NOT(ISERROR(SEARCH("Nonexistent",D37)))</formula>
    </cfRule>
    <cfRule type="expression" dxfId="356" priority="176" stopIfTrue="1">
      <formula>_xludf.STYLE(VLOOKUP(D37,#REF!,2,0))</formula>
    </cfRule>
  </conditionalFormatting>
  <conditionalFormatting sqref="D39:D41">
    <cfRule type="containsText" dxfId="355" priority="163" operator="containsText" text="Initial">
      <formula>NOT(ISERROR(SEARCH("Initial",D39)))</formula>
    </cfRule>
    <cfRule type="containsText" dxfId="354" priority="164" operator="containsText" text="Nonexistent">
      <formula>NOT(ISERROR(SEARCH("Nonexistent",D39)))</formula>
    </cfRule>
    <cfRule type="expression" dxfId="353" priority="165" stopIfTrue="1">
      <formula>_xludf.STYLE(VLOOKUP(D39,#REF!,2,0))</formula>
    </cfRule>
  </conditionalFormatting>
  <conditionalFormatting sqref="D46">
    <cfRule type="containsText" dxfId="352" priority="141" operator="containsText" text="Initial">
      <formula>NOT(ISERROR(SEARCH("Initial",D46)))</formula>
    </cfRule>
    <cfRule type="containsText" dxfId="351" priority="142" operator="containsText" text="Nonexistent">
      <formula>NOT(ISERROR(SEARCH("Nonexistent",D46)))</formula>
    </cfRule>
    <cfRule type="expression" dxfId="350" priority="143" stopIfTrue="1">
      <formula>_xludf.STYLE(VLOOKUP(D46,#REF!,2,0))</formula>
    </cfRule>
  </conditionalFormatting>
  <conditionalFormatting sqref="D48">
    <cfRule type="containsText" dxfId="349" priority="130" operator="containsText" text="Initial">
      <formula>NOT(ISERROR(SEARCH("Initial",D48)))</formula>
    </cfRule>
    <cfRule type="containsText" dxfId="348" priority="131" operator="containsText" text="Nonexistent">
      <formula>NOT(ISERROR(SEARCH("Nonexistent",D48)))</formula>
    </cfRule>
    <cfRule type="expression" dxfId="347" priority="132" stopIfTrue="1">
      <formula>_xludf.STYLE(VLOOKUP(D48,#REF!,2,0))</formula>
    </cfRule>
  </conditionalFormatting>
  <conditionalFormatting sqref="D51">
    <cfRule type="containsText" dxfId="346" priority="119" operator="containsText" text="Initial">
      <formula>NOT(ISERROR(SEARCH("Initial",D51)))</formula>
    </cfRule>
    <cfRule type="containsText" dxfId="345" priority="120" operator="containsText" text="Nonexistent">
      <formula>NOT(ISERROR(SEARCH("Nonexistent",D51)))</formula>
    </cfRule>
    <cfRule type="expression" dxfId="344" priority="121" stopIfTrue="1">
      <formula>_xludf.STYLE(VLOOKUP(D51,#REF!,2,0))</formula>
    </cfRule>
  </conditionalFormatting>
  <conditionalFormatting sqref="D55">
    <cfRule type="containsText" dxfId="343" priority="97" operator="containsText" text="Initial">
      <formula>NOT(ISERROR(SEARCH("Initial",D55)))</formula>
    </cfRule>
    <cfRule type="containsText" dxfId="342" priority="98" operator="containsText" text="Nonexistent">
      <formula>NOT(ISERROR(SEARCH("Nonexistent",D55)))</formula>
    </cfRule>
    <cfRule type="expression" dxfId="341" priority="99" stopIfTrue="1">
      <formula>_xludf.STYLE(VLOOKUP(D55,#REF!,2,0))</formula>
    </cfRule>
  </conditionalFormatting>
  <conditionalFormatting sqref="D58">
    <cfRule type="containsText" dxfId="340" priority="86" operator="containsText" text="Initial">
      <formula>NOT(ISERROR(SEARCH("Initial",D58)))</formula>
    </cfRule>
    <cfRule type="containsText" dxfId="339" priority="87" operator="containsText" text="Nonexistent">
      <formula>NOT(ISERROR(SEARCH("Nonexistent",D58)))</formula>
    </cfRule>
    <cfRule type="expression" dxfId="338" priority="88" stopIfTrue="1">
      <formula>_xludf.STYLE(VLOOKUP(D58,#REF!,2,0))</formula>
    </cfRule>
  </conditionalFormatting>
  <conditionalFormatting sqref="D60">
    <cfRule type="containsText" dxfId="337" priority="75" operator="containsText" text="Initial">
      <formula>NOT(ISERROR(SEARCH("Initial",D60)))</formula>
    </cfRule>
    <cfRule type="containsText" dxfId="336" priority="76" operator="containsText" text="Nonexistent">
      <formula>NOT(ISERROR(SEARCH("Nonexistent",D60)))</formula>
    </cfRule>
    <cfRule type="expression" dxfId="335" priority="77" stopIfTrue="1">
      <formula>_xludf.STYLE(VLOOKUP(D60,#REF!,2,0))</formula>
    </cfRule>
  </conditionalFormatting>
  <conditionalFormatting sqref="F42:AE42">
    <cfRule type="expression" dxfId="334" priority="1025" stopIfTrue="1">
      <formula>#N/A</formula>
    </cfRule>
  </conditionalFormatting>
  <conditionalFormatting sqref="D15">
    <cfRule type="containsText" dxfId="333" priority="64" operator="containsText" text="Initial">
      <formula>NOT(ISERROR(SEARCH("Initial",D15)))</formula>
    </cfRule>
    <cfRule type="containsText" dxfId="332" priority="65" operator="containsText" text="Nonexistent">
      <formula>NOT(ISERROR(SEARCH("Nonexistent",D15)))</formula>
    </cfRule>
    <cfRule type="expression" dxfId="331" priority="66" stopIfTrue="1">
      <formula>_xludf.STYLE(VLOOKUP(D15,#REF!,2,0))</formula>
    </cfRule>
  </conditionalFormatting>
  <conditionalFormatting sqref="D17">
    <cfRule type="containsText" dxfId="330" priority="53" operator="containsText" text="Initial">
      <formula>NOT(ISERROR(SEARCH("Initial",D17)))</formula>
    </cfRule>
    <cfRule type="containsText" dxfId="329" priority="54" operator="containsText" text="Nonexistent">
      <formula>NOT(ISERROR(SEARCH("Nonexistent",D17)))</formula>
    </cfRule>
    <cfRule type="expression" dxfId="328" priority="55" stopIfTrue="1">
      <formula>_xludf.STYLE(VLOOKUP(D17,#REF!,2,0))</formula>
    </cfRule>
  </conditionalFormatting>
  <conditionalFormatting sqref="D28">
    <cfRule type="containsText" dxfId="327" priority="42" operator="containsText" text="Initial">
      <formula>NOT(ISERROR(SEARCH("Initial",D28)))</formula>
    </cfRule>
    <cfRule type="containsText" dxfId="326" priority="43" operator="containsText" text="Nonexistent">
      <formula>NOT(ISERROR(SEARCH("Nonexistent",D28)))</formula>
    </cfRule>
    <cfRule type="expression" dxfId="325" priority="44" stopIfTrue="1">
      <formula>_xludf.STYLE(VLOOKUP(D28,#REF!,2,0))</formula>
    </cfRule>
  </conditionalFormatting>
  <conditionalFormatting sqref="D5">
    <cfRule type="containsText" dxfId="324" priority="31" operator="containsText" text="Initial">
      <formula>NOT(ISERROR(SEARCH("Initial",D5)))</formula>
    </cfRule>
    <cfRule type="containsText" dxfId="323" priority="32" operator="containsText" text="Nonexistent">
      <formula>NOT(ISERROR(SEARCH("Nonexistent",D5)))</formula>
    </cfRule>
    <cfRule type="expression" dxfId="322" priority="33" stopIfTrue="1">
      <formula>_xludf.STYLE(VLOOKUP(D5,#REF!,2,0))</formula>
    </cfRule>
  </conditionalFormatting>
  <conditionalFormatting sqref="D44">
    <cfRule type="containsText" dxfId="321" priority="20" operator="containsText" text="Initial">
      <formula>NOT(ISERROR(SEARCH("Initial",D44)))</formula>
    </cfRule>
    <cfRule type="containsText" dxfId="320" priority="21" operator="containsText" text="Nonexistent">
      <formula>NOT(ISERROR(SEARCH("Nonexistent",D44)))</formula>
    </cfRule>
    <cfRule type="expression" dxfId="319" priority="22" stopIfTrue="1">
      <formula>_xludf.STYLE(VLOOKUP(D44,#REF!,2,0))</formula>
    </cfRule>
  </conditionalFormatting>
  <conditionalFormatting sqref="D53">
    <cfRule type="containsText" dxfId="318" priority="9" operator="containsText" text="Initial">
      <formula>NOT(ISERROR(SEARCH("Initial",D53)))</formula>
    </cfRule>
    <cfRule type="containsText" dxfId="317" priority="10" operator="containsText" text="Nonexistent">
      <formula>NOT(ISERROR(SEARCH("Nonexistent",D53)))</formula>
    </cfRule>
    <cfRule type="expression" dxfId="316" priority="11" stopIfTrue="1">
      <formula>_xludf.STYLE(VLOOKUP(D53,#REF!,2,0))</formula>
    </cfRule>
  </conditionalFormatting>
  <dataValidations count="1">
    <dataValidation operator="equal" allowBlank="1" showInputMessage="1" showErrorMessage="1" promptTitle="Select Control Scope" sqref="D30:E30 D32:E32 D34:E34 D36:E36 D38:E38 D43:E43 D45:E45 D47:E47 D50:E50 D52:E52 D54:E54 D59:E59" xr:uid="{00000000-0002-0000-0100-000000000000}">
      <formula1>0</formula1>
      <formula2>0</formula2>
    </dataValidation>
  </dataValidations>
  <printOptions horizontalCentered="1" verticalCentered="1"/>
  <pageMargins left="0.25" right="0.25" top="0.75" bottom="0.75" header="0.3" footer="0.3"/>
  <pageSetup paperSize="9" scale="48" firstPageNumber="0" orientation="portrait" verticalDpi="300" r:id="rId1"/>
  <headerFooter alignWithMargins="0">
    <oddFooter>&amp;C&amp;D&amp;RPage&amp;P of &amp;N</oddFooter>
  </headerFooter>
  <legacyDrawing r:id="rId2"/>
  <extLst>
    <ext xmlns:x14="http://schemas.microsoft.com/office/spreadsheetml/2009/9/main" uri="{78C0D931-6437-407d-A8EE-F0AAD7539E65}">
      <x14:conditionalFormattings>
        <x14:conditionalFormatting xmlns:xm="http://schemas.microsoft.com/office/excel/2006/main">
          <x14:cfRule type="cellIs" priority="397" operator="equal" id="{87CA746E-6D4E-4B1F-B941-FA645191D79C}">
            <xm:f>Metrics!$B$10</xm:f>
            <x14:dxf>
              <font>
                <color theme="0"/>
              </font>
              <fill>
                <patternFill>
                  <bgColor theme="0" tint="-0.34998626667073579"/>
                </patternFill>
              </fill>
            </x14:dxf>
          </x14:cfRule>
          <x14:cfRule type="cellIs" priority="398" operator="equal" id="{AA87DB84-46AC-4BB5-987D-C941979D7AEF}">
            <xm:f>Metrics!$B$9</xm:f>
            <x14:dxf>
              <font>
                <color theme="0"/>
              </font>
              <fill>
                <patternFill>
                  <bgColor rgb="FF336600"/>
                </patternFill>
              </fill>
            </x14:dxf>
          </x14:cfRule>
          <x14:cfRule type="cellIs" priority="399" operator="equal" id="{212C68B7-1F8B-4628-B0A3-AB106603E4F1}">
            <xm:f>Metrics!$B$8</xm:f>
            <x14:dxf>
              <font>
                <color theme="0"/>
              </font>
              <fill>
                <patternFill>
                  <bgColor rgb="FF92D050"/>
                </patternFill>
              </fill>
            </x14:dxf>
          </x14:cfRule>
          <x14:cfRule type="cellIs" priority="400" operator="equal" id="{FF30B0E8-3B0C-4327-9575-A8E7A395309B}">
            <xm:f>Metrics!$B$7</xm:f>
            <x14:dxf>
              <font>
                <color theme="0"/>
              </font>
              <fill>
                <patternFill>
                  <bgColor rgb="FFFFC000"/>
                </patternFill>
              </fill>
            </x14:dxf>
          </x14:cfRule>
          <x14:cfRule type="cellIs" priority="401" operator="equal" id="{29EC7B99-CD24-4AC0-85E2-75FCC617E187}">
            <xm:f>Metrics!$B$6</xm:f>
            <x14:dxf>
              <font>
                <color theme="0"/>
              </font>
              <fill>
                <patternFill>
                  <bgColor theme="2" tint="-0.499984740745262"/>
                </patternFill>
              </fill>
            </x14:dxf>
          </x14:cfRule>
          <x14:cfRule type="cellIs" priority="402" operator="equal" id="{2CC020C6-8C40-41A5-A8FB-CA0088575E86}">
            <xm:f>Metrics!$B$5</xm:f>
            <x14:dxf>
              <font>
                <color theme="0"/>
              </font>
              <fill>
                <patternFill>
                  <bgColor rgb="FFC00000"/>
                </patternFill>
              </fill>
            </x14:dxf>
          </x14:cfRule>
          <x14:cfRule type="cellIs" priority="403" operator="equal" id="{74CF91B1-F629-4205-9D72-5C2061C57A80}">
            <xm:f>Metrics!$B$4</xm:f>
            <x14:dxf>
              <font>
                <color theme="0"/>
              </font>
              <fill>
                <patternFill>
                  <bgColor rgb="FFFF0000"/>
                </patternFill>
              </fill>
            </x14:dxf>
          </x14:cfRule>
          <x14:cfRule type="cellIs" priority="404" operator="equal" id="{5FAA6519-F1A3-45FB-A1EF-043F9754F047}">
            <xm:f>Metrics!$B$3</xm:f>
            <x14:dxf>
              <font>
                <color theme="0" tint="-0.14996795556505021"/>
              </font>
              <fill>
                <patternFill>
                  <bgColor theme="0"/>
                </patternFill>
              </fill>
            </x14:dxf>
          </x14:cfRule>
          <xm:sqref>D7:D8</xm:sqref>
        </x14:conditionalFormatting>
        <x14:conditionalFormatting xmlns:xm="http://schemas.microsoft.com/office/excel/2006/main">
          <x14:cfRule type="cellIs" priority="386" operator="equal" id="{557F765E-334D-496D-9D56-F111A1EC7E0A}">
            <xm:f>Metrics!$B$10</xm:f>
            <x14:dxf>
              <font>
                <color theme="0"/>
              </font>
              <fill>
                <patternFill>
                  <bgColor theme="0" tint="-0.34998626667073579"/>
                </patternFill>
              </fill>
            </x14:dxf>
          </x14:cfRule>
          <x14:cfRule type="cellIs" priority="387" operator="equal" id="{97EA1C6B-00C5-4D6D-9E1C-4C4FE05883DA}">
            <xm:f>Metrics!$B$9</xm:f>
            <x14:dxf>
              <font>
                <color theme="0"/>
              </font>
              <fill>
                <patternFill>
                  <bgColor rgb="FF336600"/>
                </patternFill>
              </fill>
            </x14:dxf>
          </x14:cfRule>
          <x14:cfRule type="cellIs" priority="388" operator="equal" id="{B3D6B008-C7EE-49A7-9BE0-F67A41D87DD6}">
            <xm:f>Metrics!$B$8</xm:f>
            <x14:dxf>
              <font>
                <color theme="0"/>
              </font>
              <fill>
                <patternFill>
                  <bgColor rgb="FF92D050"/>
                </patternFill>
              </fill>
            </x14:dxf>
          </x14:cfRule>
          <x14:cfRule type="cellIs" priority="389" operator="equal" id="{550D2AA6-3AF9-4617-8EB2-57C85F189928}">
            <xm:f>Metrics!$B$7</xm:f>
            <x14:dxf>
              <font>
                <color theme="0"/>
              </font>
              <fill>
                <patternFill>
                  <bgColor rgb="FFFFC000"/>
                </patternFill>
              </fill>
            </x14:dxf>
          </x14:cfRule>
          <x14:cfRule type="cellIs" priority="390" operator="equal" id="{968DCB5D-D8EB-42AB-A65A-88EE2E611592}">
            <xm:f>Metrics!$B$6</xm:f>
            <x14:dxf>
              <font>
                <color theme="0"/>
              </font>
              <fill>
                <patternFill>
                  <bgColor theme="2" tint="-0.499984740745262"/>
                </patternFill>
              </fill>
            </x14:dxf>
          </x14:cfRule>
          <x14:cfRule type="cellIs" priority="391" operator="equal" id="{92CF8524-4252-4D4F-9C92-731A2430B334}">
            <xm:f>Metrics!$B$5</xm:f>
            <x14:dxf>
              <font>
                <color theme="0"/>
              </font>
              <fill>
                <patternFill>
                  <bgColor rgb="FFC00000"/>
                </patternFill>
              </fill>
            </x14:dxf>
          </x14:cfRule>
          <x14:cfRule type="cellIs" priority="392" operator="equal" id="{3E1377EF-8744-46B0-B09A-5CA9CFB7B484}">
            <xm:f>Metrics!$B$4</xm:f>
            <x14:dxf>
              <font>
                <color theme="0"/>
              </font>
              <fill>
                <patternFill>
                  <bgColor rgb="FFFF0000"/>
                </patternFill>
              </fill>
            </x14:dxf>
          </x14:cfRule>
          <x14:cfRule type="cellIs" priority="393" operator="equal" id="{BFEAF241-1CA1-48C1-B14D-E0042A8D6C44}">
            <xm:f>Metrics!$B$3</xm:f>
            <x14:dxf>
              <font>
                <color theme="0" tint="-0.14996795556505021"/>
              </font>
              <fill>
                <patternFill>
                  <bgColor theme="0"/>
                </patternFill>
              </fill>
            </x14:dxf>
          </x14:cfRule>
          <xm:sqref>D10</xm:sqref>
        </x14:conditionalFormatting>
        <x14:conditionalFormatting xmlns:xm="http://schemas.microsoft.com/office/excel/2006/main">
          <x14:cfRule type="cellIs" priority="375" operator="equal" id="{E2C26510-B62A-4B0E-A18B-6385ADEBEC5E}">
            <xm:f>Metrics!$B$10</xm:f>
            <x14:dxf>
              <font>
                <color theme="0"/>
              </font>
              <fill>
                <patternFill>
                  <bgColor theme="0" tint="-0.34998626667073579"/>
                </patternFill>
              </fill>
            </x14:dxf>
          </x14:cfRule>
          <x14:cfRule type="cellIs" priority="376" operator="equal" id="{FF3DD9CF-7286-4D5E-97C2-5790D4229956}">
            <xm:f>Metrics!$B$9</xm:f>
            <x14:dxf>
              <font>
                <color theme="0"/>
              </font>
              <fill>
                <patternFill>
                  <bgColor rgb="FF336600"/>
                </patternFill>
              </fill>
            </x14:dxf>
          </x14:cfRule>
          <x14:cfRule type="cellIs" priority="377" operator="equal" id="{B53D7886-E337-4930-8DBC-6A37EA6F46C8}">
            <xm:f>Metrics!$B$8</xm:f>
            <x14:dxf>
              <font>
                <color theme="0"/>
              </font>
              <fill>
                <patternFill>
                  <bgColor rgb="FF92D050"/>
                </patternFill>
              </fill>
            </x14:dxf>
          </x14:cfRule>
          <x14:cfRule type="cellIs" priority="378" operator="equal" id="{0A49A2A2-26F4-4D6F-B01E-DC8BF8DA876C}">
            <xm:f>Metrics!$B$7</xm:f>
            <x14:dxf>
              <font>
                <color theme="0"/>
              </font>
              <fill>
                <patternFill>
                  <bgColor rgb="FFFFC000"/>
                </patternFill>
              </fill>
            </x14:dxf>
          </x14:cfRule>
          <x14:cfRule type="cellIs" priority="379" operator="equal" id="{2D2DBE74-D12C-42FC-AFA3-0D60B2024C09}">
            <xm:f>Metrics!$B$6</xm:f>
            <x14:dxf>
              <font>
                <color theme="0"/>
              </font>
              <fill>
                <patternFill>
                  <bgColor theme="2" tint="-0.499984740745262"/>
                </patternFill>
              </fill>
            </x14:dxf>
          </x14:cfRule>
          <x14:cfRule type="cellIs" priority="380" operator="equal" id="{9A276552-3BCD-4FE2-A1EF-C1B9266F481F}">
            <xm:f>Metrics!$B$5</xm:f>
            <x14:dxf>
              <font>
                <color theme="0"/>
              </font>
              <fill>
                <patternFill>
                  <bgColor rgb="FFC00000"/>
                </patternFill>
              </fill>
            </x14:dxf>
          </x14:cfRule>
          <x14:cfRule type="cellIs" priority="381" operator="equal" id="{FF896517-72FA-4D71-9D2B-4662F8F785E2}">
            <xm:f>Metrics!$B$4</xm:f>
            <x14:dxf>
              <font>
                <color theme="0"/>
              </font>
              <fill>
                <patternFill>
                  <bgColor rgb="FFFF0000"/>
                </patternFill>
              </fill>
            </x14:dxf>
          </x14:cfRule>
          <x14:cfRule type="cellIs" priority="382" operator="equal" id="{955AF9A4-FE2F-4C7F-BA97-D3E162DD56EB}">
            <xm:f>Metrics!$B$3</xm:f>
            <x14:dxf>
              <font>
                <color theme="0" tint="-0.14996795556505021"/>
              </font>
              <fill>
                <patternFill>
                  <bgColor theme="0"/>
                </patternFill>
              </fill>
            </x14:dxf>
          </x14:cfRule>
          <xm:sqref>D12</xm:sqref>
        </x14:conditionalFormatting>
        <x14:conditionalFormatting xmlns:xm="http://schemas.microsoft.com/office/excel/2006/main">
          <x14:cfRule type="cellIs" priority="342" operator="equal" id="{6AFB2071-E402-416F-9034-D0E15B5E0B57}">
            <xm:f>Metrics!$B$10</xm:f>
            <x14:dxf>
              <font>
                <color theme="0"/>
              </font>
              <fill>
                <patternFill>
                  <bgColor theme="0" tint="-0.34998626667073579"/>
                </patternFill>
              </fill>
            </x14:dxf>
          </x14:cfRule>
          <x14:cfRule type="cellIs" priority="343" operator="equal" id="{46B7369B-E8FE-4452-9EDC-F942C0189985}">
            <xm:f>Metrics!$B$9</xm:f>
            <x14:dxf>
              <font>
                <color theme="0"/>
              </font>
              <fill>
                <patternFill>
                  <bgColor rgb="FF336600"/>
                </patternFill>
              </fill>
            </x14:dxf>
          </x14:cfRule>
          <x14:cfRule type="cellIs" priority="344" operator="equal" id="{45F541EC-697A-44BE-B7EF-0DBBEFCA2B8F}">
            <xm:f>Metrics!$B$8</xm:f>
            <x14:dxf>
              <font>
                <color theme="0"/>
              </font>
              <fill>
                <patternFill>
                  <bgColor rgb="FF92D050"/>
                </patternFill>
              </fill>
            </x14:dxf>
          </x14:cfRule>
          <x14:cfRule type="cellIs" priority="345" operator="equal" id="{BC51E68A-FEB1-48B1-A58A-13588892BC5C}">
            <xm:f>Metrics!$B$7</xm:f>
            <x14:dxf>
              <font>
                <color theme="0"/>
              </font>
              <fill>
                <patternFill>
                  <bgColor rgb="FFFFC000"/>
                </patternFill>
              </fill>
            </x14:dxf>
          </x14:cfRule>
          <x14:cfRule type="cellIs" priority="346" operator="equal" id="{2DAC0539-2075-4CBE-8FD1-3F64264DF29D}">
            <xm:f>Metrics!$B$6</xm:f>
            <x14:dxf>
              <font>
                <color theme="0"/>
              </font>
              <fill>
                <patternFill>
                  <bgColor theme="2" tint="-0.499984740745262"/>
                </patternFill>
              </fill>
            </x14:dxf>
          </x14:cfRule>
          <x14:cfRule type="cellIs" priority="347" operator="equal" id="{77F78266-F8CB-44C9-9482-058C12D2534A}">
            <xm:f>Metrics!$B$5</xm:f>
            <x14:dxf>
              <font>
                <color theme="0"/>
              </font>
              <fill>
                <patternFill>
                  <bgColor rgb="FFC00000"/>
                </patternFill>
              </fill>
            </x14:dxf>
          </x14:cfRule>
          <x14:cfRule type="cellIs" priority="348" operator="equal" id="{4DEA5D7B-50B1-4198-BEBC-8C9ABF7B774A}">
            <xm:f>Metrics!$B$4</xm:f>
            <x14:dxf>
              <font>
                <color theme="0"/>
              </font>
              <fill>
                <patternFill>
                  <bgColor rgb="FFFF0000"/>
                </patternFill>
              </fill>
            </x14:dxf>
          </x14:cfRule>
          <x14:cfRule type="cellIs" priority="349" operator="equal" id="{E1816410-9F86-4AAF-998D-AF937FD6BBD9}">
            <xm:f>Metrics!$B$3</xm:f>
            <x14:dxf>
              <font>
                <color theme="0" tint="-0.14996795556505021"/>
              </font>
              <fill>
                <patternFill>
                  <bgColor theme="0"/>
                </patternFill>
              </fill>
            </x14:dxf>
          </x14:cfRule>
          <xm:sqref>D19</xm:sqref>
        </x14:conditionalFormatting>
        <x14:conditionalFormatting xmlns:xm="http://schemas.microsoft.com/office/excel/2006/main">
          <x14:cfRule type="cellIs" priority="232" operator="equal" id="{B03CFF89-F1BF-4A64-84BC-DE3E5B316404}">
            <xm:f>Metrics!$B$10</xm:f>
            <x14:dxf>
              <font>
                <color theme="0"/>
              </font>
              <fill>
                <patternFill>
                  <bgColor theme="0" tint="-0.34998626667073579"/>
                </patternFill>
              </fill>
            </x14:dxf>
          </x14:cfRule>
          <x14:cfRule type="cellIs" priority="233" operator="equal" id="{AD9CDCCA-4D04-4549-BCEB-482DB7AA2C6D}">
            <xm:f>Metrics!$B$9</xm:f>
            <x14:dxf>
              <font>
                <color theme="0"/>
              </font>
              <fill>
                <patternFill>
                  <bgColor rgb="FF336600"/>
                </patternFill>
              </fill>
            </x14:dxf>
          </x14:cfRule>
          <x14:cfRule type="cellIs" priority="234" operator="equal" id="{9CA4E724-839A-47A4-8CF0-D1B33D644C2D}">
            <xm:f>Metrics!$B$8</xm:f>
            <x14:dxf>
              <font>
                <color theme="0"/>
              </font>
              <fill>
                <patternFill>
                  <bgColor rgb="FF92D050"/>
                </patternFill>
              </fill>
            </x14:dxf>
          </x14:cfRule>
          <x14:cfRule type="cellIs" priority="235" operator="equal" id="{AB5331E5-91F1-4712-8DEB-FC757A11DD17}">
            <xm:f>Metrics!$B$7</xm:f>
            <x14:dxf>
              <font>
                <color theme="0"/>
              </font>
              <fill>
                <patternFill>
                  <bgColor rgb="FFFFC000"/>
                </patternFill>
              </fill>
            </x14:dxf>
          </x14:cfRule>
          <x14:cfRule type="cellIs" priority="236" operator="equal" id="{27A871FB-1DCB-46E7-81CD-B659ECC84CB6}">
            <xm:f>Metrics!$B$6</xm:f>
            <x14:dxf>
              <font>
                <color theme="0"/>
              </font>
              <fill>
                <patternFill>
                  <bgColor theme="2" tint="-0.499984740745262"/>
                </patternFill>
              </fill>
            </x14:dxf>
          </x14:cfRule>
          <x14:cfRule type="cellIs" priority="237" operator="equal" id="{C60935F3-36AB-4623-8F20-F55345F48845}">
            <xm:f>Metrics!$B$5</xm:f>
            <x14:dxf>
              <font>
                <color theme="0"/>
              </font>
              <fill>
                <patternFill>
                  <bgColor rgb="FFC00000"/>
                </patternFill>
              </fill>
            </x14:dxf>
          </x14:cfRule>
          <x14:cfRule type="cellIs" priority="238" operator="equal" id="{2317C250-E68B-4C7D-9940-18C45187CABA}">
            <xm:f>Metrics!$B$4</xm:f>
            <x14:dxf>
              <font>
                <color theme="0"/>
              </font>
              <fill>
                <patternFill>
                  <bgColor rgb="FFFF0000"/>
                </patternFill>
              </fill>
            </x14:dxf>
          </x14:cfRule>
          <x14:cfRule type="cellIs" priority="239" operator="equal" id="{241DA721-20B4-4E70-87DA-3B75DFC6FFF2}">
            <xm:f>Metrics!$B$3</xm:f>
            <x14:dxf>
              <font>
                <color theme="0" tint="-0.14996795556505021"/>
              </font>
              <fill>
                <patternFill>
                  <bgColor theme="0"/>
                </patternFill>
              </fill>
            </x14:dxf>
          </x14:cfRule>
          <xm:sqref>D22:D24</xm:sqref>
        </x14:conditionalFormatting>
        <x14:conditionalFormatting xmlns:xm="http://schemas.microsoft.com/office/excel/2006/main">
          <x14:cfRule type="cellIs" priority="221" operator="equal" id="{A5A67B78-5E03-485C-AFDB-DD5C2CA26E86}">
            <xm:f>Metrics!$B$10</xm:f>
            <x14:dxf>
              <font>
                <color theme="0"/>
              </font>
              <fill>
                <patternFill>
                  <bgColor theme="0" tint="-0.34998626667073579"/>
                </patternFill>
              </fill>
            </x14:dxf>
          </x14:cfRule>
          <x14:cfRule type="cellIs" priority="222" operator="equal" id="{B546B7AE-DA89-4C5A-B757-E8ECA9646B32}">
            <xm:f>Metrics!$B$9</xm:f>
            <x14:dxf>
              <font>
                <color theme="0"/>
              </font>
              <fill>
                <patternFill>
                  <bgColor rgb="FF336600"/>
                </patternFill>
              </fill>
            </x14:dxf>
          </x14:cfRule>
          <x14:cfRule type="cellIs" priority="223" operator="equal" id="{CC38A053-485F-4438-BC18-F9EB83EB006D}">
            <xm:f>Metrics!$B$8</xm:f>
            <x14:dxf>
              <font>
                <color theme="0"/>
              </font>
              <fill>
                <patternFill>
                  <bgColor rgb="FF92D050"/>
                </patternFill>
              </fill>
            </x14:dxf>
          </x14:cfRule>
          <x14:cfRule type="cellIs" priority="224" operator="equal" id="{1B19CF1D-D9A7-4B04-802C-D91DEAFD9433}">
            <xm:f>Metrics!$B$7</xm:f>
            <x14:dxf>
              <font>
                <color theme="0"/>
              </font>
              <fill>
                <patternFill>
                  <bgColor rgb="FFFFC000"/>
                </patternFill>
              </fill>
            </x14:dxf>
          </x14:cfRule>
          <x14:cfRule type="cellIs" priority="225" operator="equal" id="{B9945E5B-9C42-4C4D-91D7-D955D76932F0}">
            <xm:f>Metrics!$B$6</xm:f>
            <x14:dxf>
              <font>
                <color theme="0"/>
              </font>
              <fill>
                <patternFill>
                  <bgColor theme="2" tint="-0.499984740745262"/>
                </patternFill>
              </fill>
            </x14:dxf>
          </x14:cfRule>
          <x14:cfRule type="cellIs" priority="226" operator="equal" id="{7527354A-1A12-41A1-ACF7-AEF753FD8E7D}">
            <xm:f>Metrics!$B$5</xm:f>
            <x14:dxf>
              <font>
                <color theme="0"/>
              </font>
              <fill>
                <patternFill>
                  <bgColor rgb="FFC00000"/>
                </patternFill>
              </fill>
            </x14:dxf>
          </x14:cfRule>
          <x14:cfRule type="cellIs" priority="227" operator="equal" id="{2CBB8410-6903-4850-A5C9-FCDD22B21BBE}">
            <xm:f>Metrics!$B$4</xm:f>
            <x14:dxf>
              <font>
                <color theme="0"/>
              </font>
              <fill>
                <patternFill>
                  <bgColor rgb="FFFF0000"/>
                </patternFill>
              </fill>
            </x14:dxf>
          </x14:cfRule>
          <x14:cfRule type="cellIs" priority="228" operator="equal" id="{5A5D0095-7D79-4AF3-9137-99D76EF5BF62}">
            <xm:f>Metrics!$B$3</xm:f>
            <x14:dxf>
              <font>
                <color theme="0" tint="-0.14996795556505021"/>
              </font>
              <fill>
                <patternFill>
                  <bgColor theme="0"/>
                </patternFill>
              </fill>
            </x14:dxf>
          </x14:cfRule>
          <xm:sqref>D26</xm:sqref>
        </x14:conditionalFormatting>
        <x14:conditionalFormatting xmlns:xm="http://schemas.microsoft.com/office/excel/2006/main">
          <x14:cfRule type="cellIs" priority="199" operator="equal" id="{B2FC3F8C-8449-4421-B0D4-F9D62F0040F2}">
            <xm:f>Metrics!$B$10</xm:f>
            <x14:dxf>
              <font>
                <color theme="0"/>
              </font>
              <fill>
                <patternFill>
                  <bgColor theme="0" tint="-0.34998626667073579"/>
                </patternFill>
              </fill>
            </x14:dxf>
          </x14:cfRule>
          <x14:cfRule type="cellIs" priority="200" operator="equal" id="{DEEF5B37-4BB1-419D-ADBF-E5ECB0F9DE2D}">
            <xm:f>Metrics!$B$9</xm:f>
            <x14:dxf>
              <font>
                <color theme="0"/>
              </font>
              <fill>
                <patternFill>
                  <bgColor rgb="FF336600"/>
                </patternFill>
              </fill>
            </x14:dxf>
          </x14:cfRule>
          <x14:cfRule type="cellIs" priority="201" operator="equal" id="{654D7935-C5FB-4600-90DC-298061D47ACA}">
            <xm:f>Metrics!$B$8</xm:f>
            <x14:dxf>
              <font>
                <color theme="0"/>
              </font>
              <fill>
                <patternFill>
                  <bgColor rgb="FF92D050"/>
                </patternFill>
              </fill>
            </x14:dxf>
          </x14:cfRule>
          <x14:cfRule type="cellIs" priority="202" operator="equal" id="{D93489F9-E13F-4FF5-BD61-FF9013F23F52}">
            <xm:f>Metrics!$B$7</xm:f>
            <x14:dxf>
              <font>
                <color theme="0"/>
              </font>
              <fill>
                <patternFill>
                  <bgColor rgb="FFFFC000"/>
                </patternFill>
              </fill>
            </x14:dxf>
          </x14:cfRule>
          <x14:cfRule type="cellIs" priority="203" operator="equal" id="{8655D247-AE5B-4EE2-88B1-AB021F92B40C}">
            <xm:f>Metrics!$B$6</xm:f>
            <x14:dxf>
              <font>
                <color theme="0"/>
              </font>
              <fill>
                <patternFill>
                  <bgColor theme="2" tint="-0.499984740745262"/>
                </patternFill>
              </fill>
            </x14:dxf>
          </x14:cfRule>
          <x14:cfRule type="cellIs" priority="204" operator="equal" id="{9705C387-5E0B-446C-9BB5-A3D82748850D}">
            <xm:f>Metrics!$B$5</xm:f>
            <x14:dxf>
              <font>
                <color theme="0"/>
              </font>
              <fill>
                <patternFill>
                  <bgColor rgb="FFC00000"/>
                </patternFill>
              </fill>
            </x14:dxf>
          </x14:cfRule>
          <x14:cfRule type="cellIs" priority="205" operator="equal" id="{A774EA67-0968-450A-8154-C8471D530A12}">
            <xm:f>Metrics!$B$4</xm:f>
            <x14:dxf>
              <font>
                <color theme="0"/>
              </font>
              <fill>
                <patternFill>
                  <bgColor rgb="FFFF0000"/>
                </patternFill>
              </fill>
            </x14:dxf>
          </x14:cfRule>
          <x14:cfRule type="cellIs" priority="206" operator="equal" id="{DE290514-45FA-499B-AD04-E896E000B3D6}">
            <xm:f>Metrics!$B$3</xm:f>
            <x14:dxf>
              <font>
                <color theme="0" tint="-0.14996795556505021"/>
              </font>
              <fill>
                <patternFill>
                  <bgColor theme="0"/>
                </patternFill>
              </fill>
            </x14:dxf>
          </x14:cfRule>
          <xm:sqref>D31</xm:sqref>
        </x14:conditionalFormatting>
        <x14:conditionalFormatting xmlns:xm="http://schemas.microsoft.com/office/excel/2006/main">
          <x14:cfRule type="cellIs" priority="188" operator="equal" id="{4B10073C-8BC9-4EBE-A98B-CFEC36DB2483}">
            <xm:f>Metrics!$B$10</xm:f>
            <x14:dxf>
              <font>
                <color theme="0"/>
              </font>
              <fill>
                <patternFill>
                  <bgColor theme="0" tint="-0.34998626667073579"/>
                </patternFill>
              </fill>
            </x14:dxf>
          </x14:cfRule>
          <x14:cfRule type="cellIs" priority="189" operator="equal" id="{88A2B56C-6488-49EB-B1D4-440634667279}">
            <xm:f>Metrics!$B$9</xm:f>
            <x14:dxf>
              <font>
                <color theme="0"/>
              </font>
              <fill>
                <patternFill>
                  <bgColor rgb="FF336600"/>
                </patternFill>
              </fill>
            </x14:dxf>
          </x14:cfRule>
          <x14:cfRule type="cellIs" priority="190" operator="equal" id="{F222EFCB-D182-422E-BDEF-B0F2F569C8F3}">
            <xm:f>Metrics!$B$8</xm:f>
            <x14:dxf>
              <font>
                <color theme="0"/>
              </font>
              <fill>
                <patternFill>
                  <bgColor rgb="FF92D050"/>
                </patternFill>
              </fill>
            </x14:dxf>
          </x14:cfRule>
          <x14:cfRule type="cellIs" priority="191" operator="equal" id="{FE455516-11D9-4A59-AE97-E8AA5AA28F0A}">
            <xm:f>Metrics!$B$7</xm:f>
            <x14:dxf>
              <font>
                <color theme="0"/>
              </font>
              <fill>
                <patternFill>
                  <bgColor rgb="FFFFC000"/>
                </patternFill>
              </fill>
            </x14:dxf>
          </x14:cfRule>
          <x14:cfRule type="cellIs" priority="192" operator="equal" id="{DAA11567-7D95-4850-B2FF-61BB0DF5284D}">
            <xm:f>Metrics!$B$6</xm:f>
            <x14:dxf>
              <font>
                <color theme="0"/>
              </font>
              <fill>
                <patternFill>
                  <bgColor theme="2" tint="-0.499984740745262"/>
                </patternFill>
              </fill>
            </x14:dxf>
          </x14:cfRule>
          <x14:cfRule type="cellIs" priority="193" operator="equal" id="{E86416C5-1F6B-41D1-8781-C1A819C906EC}">
            <xm:f>Metrics!$B$5</xm:f>
            <x14:dxf>
              <font>
                <color theme="0"/>
              </font>
              <fill>
                <patternFill>
                  <bgColor rgb="FFC00000"/>
                </patternFill>
              </fill>
            </x14:dxf>
          </x14:cfRule>
          <x14:cfRule type="cellIs" priority="194" operator="equal" id="{3BBFA221-1412-4EBB-BD9E-939275B4A2F2}">
            <xm:f>Metrics!$B$4</xm:f>
            <x14:dxf>
              <font>
                <color theme="0"/>
              </font>
              <fill>
                <patternFill>
                  <bgColor rgb="FFFF0000"/>
                </patternFill>
              </fill>
            </x14:dxf>
          </x14:cfRule>
          <x14:cfRule type="cellIs" priority="195" operator="equal" id="{F929A388-5B24-4C0A-BB2A-0A9A22F67D8E}">
            <xm:f>Metrics!$B$3</xm:f>
            <x14:dxf>
              <font>
                <color theme="0" tint="-0.14996795556505021"/>
              </font>
              <fill>
                <patternFill>
                  <bgColor theme="0"/>
                </patternFill>
              </fill>
            </x14:dxf>
          </x14:cfRule>
          <xm:sqref>D33</xm:sqref>
        </x14:conditionalFormatting>
        <x14:conditionalFormatting xmlns:xm="http://schemas.microsoft.com/office/excel/2006/main">
          <x14:cfRule type="cellIs" priority="177" operator="equal" id="{79364844-3211-46AF-A1AD-FEA20D6C625A}">
            <xm:f>Metrics!$B$10</xm:f>
            <x14:dxf>
              <font>
                <color theme="0"/>
              </font>
              <fill>
                <patternFill>
                  <bgColor theme="0" tint="-0.34998626667073579"/>
                </patternFill>
              </fill>
            </x14:dxf>
          </x14:cfRule>
          <x14:cfRule type="cellIs" priority="178" operator="equal" id="{23C7D7BF-1DDA-4FE2-9B3C-5FE2FAAE5C6B}">
            <xm:f>Metrics!$B$9</xm:f>
            <x14:dxf>
              <font>
                <color theme="0"/>
              </font>
              <fill>
                <patternFill>
                  <bgColor rgb="FF336600"/>
                </patternFill>
              </fill>
            </x14:dxf>
          </x14:cfRule>
          <x14:cfRule type="cellIs" priority="179" operator="equal" id="{5154356A-CC52-4DB6-B085-D430FCD09A81}">
            <xm:f>Metrics!$B$8</xm:f>
            <x14:dxf>
              <font>
                <color theme="0"/>
              </font>
              <fill>
                <patternFill>
                  <bgColor rgb="FF92D050"/>
                </patternFill>
              </fill>
            </x14:dxf>
          </x14:cfRule>
          <x14:cfRule type="cellIs" priority="180" operator="equal" id="{5F63ABCE-8421-4B98-AC0A-AF2064483D85}">
            <xm:f>Metrics!$B$7</xm:f>
            <x14:dxf>
              <font>
                <color theme="0"/>
              </font>
              <fill>
                <patternFill>
                  <bgColor rgb="FFFFC000"/>
                </patternFill>
              </fill>
            </x14:dxf>
          </x14:cfRule>
          <x14:cfRule type="cellIs" priority="181" operator="equal" id="{843AAB6C-32FF-4BE9-B9ED-CAD511E9BA4C}">
            <xm:f>Metrics!$B$6</xm:f>
            <x14:dxf>
              <font>
                <color theme="0"/>
              </font>
              <fill>
                <patternFill>
                  <bgColor theme="2" tint="-0.499984740745262"/>
                </patternFill>
              </fill>
            </x14:dxf>
          </x14:cfRule>
          <x14:cfRule type="cellIs" priority="182" operator="equal" id="{71BD5B28-0450-4B86-B9B8-F91C047EF77E}">
            <xm:f>Metrics!$B$5</xm:f>
            <x14:dxf>
              <font>
                <color theme="0"/>
              </font>
              <fill>
                <patternFill>
                  <bgColor rgb="FFC00000"/>
                </patternFill>
              </fill>
            </x14:dxf>
          </x14:cfRule>
          <x14:cfRule type="cellIs" priority="183" operator="equal" id="{AD65F1C5-C46C-4D29-9241-01A0EA353898}">
            <xm:f>Metrics!$B$4</xm:f>
            <x14:dxf>
              <font>
                <color theme="0"/>
              </font>
              <fill>
                <patternFill>
                  <bgColor rgb="FFFF0000"/>
                </patternFill>
              </fill>
            </x14:dxf>
          </x14:cfRule>
          <x14:cfRule type="cellIs" priority="184" operator="equal" id="{45FF04D8-787F-4CD3-86EE-1A79517B7936}">
            <xm:f>Metrics!$B$3</xm:f>
            <x14:dxf>
              <font>
                <color theme="0" tint="-0.14996795556505021"/>
              </font>
              <fill>
                <patternFill>
                  <bgColor theme="0"/>
                </patternFill>
              </fill>
            </x14:dxf>
          </x14:cfRule>
          <xm:sqref>D35</xm:sqref>
        </x14:conditionalFormatting>
        <x14:conditionalFormatting xmlns:xm="http://schemas.microsoft.com/office/excel/2006/main">
          <x14:cfRule type="cellIs" priority="166" operator="equal" id="{DDA0EF1D-C2D5-40A5-9040-F9637734BBAD}">
            <xm:f>Metrics!$B$10</xm:f>
            <x14:dxf>
              <font>
                <color theme="0"/>
              </font>
              <fill>
                <patternFill>
                  <bgColor theme="0" tint="-0.34998626667073579"/>
                </patternFill>
              </fill>
            </x14:dxf>
          </x14:cfRule>
          <x14:cfRule type="cellIs" priority="167" operator="equal" id="{A1BFC56E-90AE-46EA-9B41-A151490DC3F9}">
            <xm:f>Metrics!$B$9</xm:f>
            <x14:dxf>
              <font>
                <color theme="0"/>
              </font>
              <fill>
                <patternFill>
                  <bgColor rgb="FF336600"/>
                </patternFill>
              </fill>
            </x14:dxf>
          </x14:cfRule>
          <x14:cfRule type="cellIs" priority="168" operator="equal" id="{33D9247A-BF9C-4483-99E4-639B0315061C}">
            <xm:f>Metrics!$B$8</xm:f>
            <x14:dxf>
              <font>
                <color theme="0"/>
              </font>
              <fill>
                <patternFill>
                  <bgColor rgb="FF92D050"/>
                </patternFill>
              </fill>
            </x14:dxf>
          </x14:cfRule>
          <x14:cfRule type="cellIs" priority="169" operator="equal" id="{141B4287-4E9E-4BBB-9A8B-52883BC4DBB4}">
            <xm:f>Metrics!$B$7</xm:f>
            <x14:dxf>
              <font>
                <color theme="0"/>
              </font>
              <fill>
                <patternFill>
                  <bgColor rgb="FFFFC000"/>
                </patternFill>
              </fill>
            </x14:dxf>
          </x14:cfRule>
          <x14:cfRule type="cellIs" priority="170" operator="equal" id="{81647B30-BB7C-41BA-8F1C-1D0862609B4F}">
            <xm:f>Metrics!$B$6</xm:f>
            <x14:dxf>
              <font>
                <color theme="0"/>
              </font>
              <fill>
                <patternFill>
                  <bgColor theme="2" tint="-0.499984740745262"/>
                </patternFill>
              </fill>
            </x14:dxf>
          </x14:cfRule>
          <x14:cfRule type="cellIs" priority="171" operator="equal" id="{372083AC-F22C-44FE-A050-88D426A11A3C}">
            <xm:f>Metrics!$B$5</xm:f>
            <x14:dxf>
              <font>
                <color theme="0"/>
              </font>
              <fill>
                <patternFill>
                  <bgColor rgb="FFC00000"/>
                </patternFill>
              </fill>
            </x14:dxf>
          </x14:cfRule>
          <x14:cfRule type="cellIs" priority="172" operator="equal" id="{0E8598C8-E2E7-4360-8503-98502C8A7722}">
            <xm:f>Metrics!$B$4</xm:f>
            <x14:dxf>
              <font>
                <color theme="0"/>
              </font>
              <fill>
                <patternFill>
                  <bgColor rgb="FFFF0000"/>
                </patternFill>
              </fill>
            </x14:dxf>
          </x14:cfRule>
          <x14:cfRule type="cellIs" priority="173" operator="equal" id="{80B6D679-370D-44C4-9950-C6DD802CD1CF}">
            <xm:f>Metrics!$B$3</xm:f>
            <x14:dxf>
              <font>
                <color theme="0" tint="-0.14996795556505021"/>
              </font>
              <fill>
                <patternFill>
                  <bgColor theme="0"/>
                </patternFill>
              </fill>
            </x14:dxf>
          </x14:cfRule>
          <xm:sqref>D37</xm:sqref>
        </x14:conditionalFormatting>
        <x14:conditionalFormatting xmlns:xm="http://schemas.microsoft.com/office/excel/2006/main">
          <x14:cfRule type="cellIs" priority="155" operator="equal" id="{16FB97B7-5A61-47C9-A342-B416F31DA17D}">
            <xm:f>Metrics!$B$10</xm:f>
            <x14:dxf>
              <font>
                <color theme="0"/>
              </font>
              <fill>
                <patternFill>
                  <bgColor theme="0" tint="-0.34998626667073579"/>
                </patternFill>
              </fill>
            </x14:dxf>
          </x14:cfRule>
          <x14:cfRule type="cellIs" priority="156" operator="equal" id="{105BBE4D-28D7-4C9F-AFE6-0556286F515B}">
            <xm:f>Metrics!$B$9</xm:f>
            <x14:dxf>
              <font>
                <color theme="0"/>
              </font>
              <fill>
                <patternFill>
                  <bgColor rgb="FF336600"/>
                </patternFill>
              </fill>
            </x14:dxf>
          </x14:cfRule>
          <x14:cfRule type="cellIs" priority="157" operator="equal" id="{4C3F6BC2-F604-4063-B431-91E8B2206959}">
            <xm:f>Metrics!$B$8</xm:f>
            <x14:dxf>
              <font>
                <color theme="0"/>
              </font>
              <fill>
                <patternFill>
                  <bgColor rgb="FF92D050"/>
                </patternFill>
              </fill>
            </x14:dxf>
          </x14:cfRule>
          <x14:cfRule type="cellIs" priority="158" operator="equal" id="{38CA0D99-DABF-447E-8A43-E5C304E31674}">
            <xm:f>Metrics!$B$7</xm:f>
            <x14:dxf>
              <font>
                <color theme="0"/>
              </font>
              <fill>
                <patternFill>
                  <bgColor rgb="FFFFC000"/>
                </patternFill>
              </fill>
            </x14:dxf>
          </x14:cfRule>
          <x14:cfRule type="cellIs" priority="159" operator="equal" id="{8CA52A5A-FED4-403E-8E45-6DE84C2F8DA3}">
            <xm:f>Metrics!$B$6</xm:f>
            <x14:dxf>
              <font>
                <color theme="0"/>
              </font>
              <fill>
                <patternFill>
                  <bgColor theme="2" tint="-0.499984740745262"/>
                </patternFill>
              </fill>
            </x14:dxf>
          </x14:cfRule>
          <x14:cfRule type="cellIs" priority="160" operator="equal" id="{B344569D-9019-4F02-883A-122B77EF6521}">
            <xm:f>Metrics!$B$5</xm:f>
            <x14:dxf>
              <font>
                <color theme="0"/>
              </font>
              <fill>
                <patternFill>
                  <bgColor rgb="FFC00000"/>
                </patternFill>
              </fill>
            </x14:dxf>
          </x14:cfRule>
          <x14:cfRule type="cellIs" priority="161" operator="equal" id="{2A2EBC72-92D9-49B1-8A7F-72D7F70A4831}">
            <xm:f>Metrics!$B$4</xm:f>
            <x14:dxf>
              <font>
                <color theme="0"/>
              </font>
              <fill>
                <patternFill>
                  <bgColor rgb="FFFF0000"/>
                </patternFill>
              </fill>
            </x14:dxf>
          </x14:cfRule>
          <x14:cfRule type="cellIs" priority="162" operator="equal" id="{C33AAE34-AE21-4947-98FA-79F3F2A053DE}">
            <xm:f>Metrics!$B$3</xm:f>
            <x14:dxf>
              <font>
                <color theme="0" tint="-0.14996795556505021"/>
              </font>
              <fill>
                <patternFill>
                  <bgColor theme="0"/>
                </patternFill>
              </fill>
            </x14:dxf>
          </x14:cfRule>
          <xm:sqref>D39:D41</xm:sqref>
        </x14:conditionalFormatting>
        <x14:conditionalFormatting xmlns:xm="http://schemas.microsoft.com/office/excel/2006/main">
          <x14:cfRule type="cellIs" priority="133" operator="equal" id="{111D9654-7076-4B2A-ABC1-B567DF4F9508}">
            <xm:f>Metrics!$B$10</xm:f>
            <x14:dxf>
              <font>
                <color theme="0"/>
              </font>
              <fill>
                <patternFill>
                  <bgColor theme="0" tint="-0.34998626667073579"/>
                </patternFill>
              </fill>
            </x14:dxf>
          </x14:cfRule>
          <x14:cfRule type="cellIs" priority="134" operator="equal" id="{D255505A-1335-43EE-BEFF-AD5FB3BB6EFA}">
            <xm:f>Metrics!$B$9</xm:f>
            <x14:dxf>
              <font>
                <color theme="0"/>
              </font>
              <fill>
                <patternFill>
                  <bgColor rgb="FF336600"/>
                </patternFill>
              </fill>
            </x14:dxf>
          </x14:cfRule>
          <x14:cfRule type="cellIs" priority="135" operator="equal" id="{503E7F4E-3D70-4628-B635-AFF143AFE06C}">
            <xm:f>Metrics!$B$8</xm:f>
            <x14:dxf>
              <font>
                <color theme="0"/>
              </font>
              <fill>
                <patternFill>
                  <bgColor rgb="FF92D050"/>
                </patternFill>
              </fill>
            </x14:dxf>
          </x14:cfRule>
          <x14:cfRule type="cellIs" priority="136" operator="equal" id="{794A639D-8AAC-46C8-947C-324B81A145BC}">
            <xm:f>Metrics!$B$7</xm:f>
            <x14:dxf>
              <font>
                <color theme="0"/>
              </font>
              <fill>
                <patternFill>
                  <bgColor rgb="FFFFC000"/>
                </patternFill>
              </fill>
            </x14:dxf>
          </x14:cfRule>
          <x14:cfRule type="cellIs" priority="137" operator="equal" id="{2EFDA671-0D92-4BDC-A64B-E18A470B8438}">
            <xm:f>Metrics!$B$6</xm:f>
            <x14:dxf>
              <font>
                <color theme="0"/>
              </font>
              <fill>
                <patternFill>
                  <bgColor theme="2" tint="-0.499984740745262"/>
                </patternFill>
              </fill>
            </x14:dxf>
          </x14:cfRule>
          <x14:cfRule type="cellIs" priority="138" operator="equal" id="{EB6DC6CA-C573-43CD-8CA6-2BA9EF4BB5A9}">
            <xm:f>Metrics!$B$5</xm:f>
            <x14:dxf>
              <font>
                <color theme="0"/>
              </font>
              <fill>
                <patternFill>
                  <bgColor rgb="FFC00000"/>
                </patternFill>
              </fill>
            </x14:dxf>
          </x14:cfRule>
          <x14:cfRule type="cellIs" priority="139" operator="equal" id="{D62A654C-41CC-4536-8B19-7B33A026F9CD}">
            <xm:f>Metrics!$B$4</xm:f>
            <x14:dxf>
              <font>
                <color theme="0"/>
              </font>
              <fill>
                <patternFill>
                  <bgColor rgb="FFFF0000"/>
                </patternFill>
              </fill>
            </x14:dxf>
          </x14:cfRule>
          <x14:cfRule type="cellIs" priority="140" operator="equal" id="{4716DA0D-27DA-4048-B4D4-1C4851A4B59E}">
            <xm:f>Metrics!$B$3</xm:f>
            <x14:dxf>
              <font>
                <color theme="0" tint="-0.14996795556505021"/>
              </font>
              <fill>
                <patternFill>
                  <bgColor theme="0"/>
                </patternFill>
              </fill>
            </x14:dxf>
          </x14:cfRule>
          <xm:sqref>D46</xm:sqref>
        </x14:conditionalFormatting>
        <x14:conditionalFormatting xmlns:xm="http://schemas.microsoft.com/office/excel/2006/main">
          <x14:cfRule type="cellIs" priority="122" operator="equal" id="{FA5FEF70-0FC8-43C1-A60A-2C6B3FA605F0}">
            <xm:f>Metrics!$B$10</xm:f>
            <x14:dxf>
              <font>
                <color theme="0"/>
              </font>
              <fill>
                <patternFill>
                  <bgColor theme="0" tint="-0.34998626667073579"/>
                </patternFill>
              </fill>
            </x14:dxf>
          </x14:cfRule>
          <x14:cfRule type="cellIs" priority="123" operator="equal" id="{A8FA7D36-E74A-4D33-86F0-25E967414702}">
            <xm:f>Metrics!$B$9</xm:f>
            <x14:dxf>
              <font>
                <color theme="0"/>
              </font>
              <fill>
                <patternFill>
                  <bgColor rgb="FF336600"/>
                </patternFill>
              </fill>
            </x14:dxf>
          </x14:cfRule>
          <x14:cfRule type="cellIs" priority="124" operator="equal" id="{163A4480-0D91-4A07-A141-361F3B2D5E13}">
            <xm:f>Metrics!$B$8</xm:f>
            <x14:dxf>
              <font>
                <color theme="0"/>
              </font>
              <fill>
                <patternFill>
                  <bgColor rgb="FF92D050"/>
                </patternFill>
              </fill>
            </x14:dxf>
          </x14:cfRule>
          <x14:cfRule type="cellIs" priority="125" operator="equal" id="{4DC0CF0C-C6D3-4398-8128-35FA5EE07F79}">
            <xm:f>Metrics!$B$7</xm:f>
            <x14:dxf>
              <font>
                <color theme="0"/>
              </font>
              <fill>
                <patternFill>
                  <bgColor rgb="FFFFC000"/>
                </patternFill>
              </fill>
            </x14:dxf>
          </x14:cfRule>
          <x14:cfRule type="cellIs" priority="126" operator="equal" id="{BFB03FF4-35AF-4F26-896F-303D92D1C03F}">
            <xm:f>Metrics!$B$6</xm:f>
            <x14:dxf>
              <font>
                <color theme="0"/>
              </font>
              <fill>
                <patternFill>
                  <bgColor theme="2" tint="-0.499984740745262"/>
                </patternFill>
              </fill>
            </x14:dxf>
          </x14:cfRule>
          <x14:cfRule type="cellIs" priority="127" operator="equal" id="{63FA40E7-88EC-4455-9504-540687963090}">
            <xm:f>Metrics!$B$5</xm:f>
            <x14:dxf>
              <font>
                <color theme="0"/>
              </font>
              <fill>
                <patternFill>
                  <bgColor rgb="FFC00000"/>
                </patternFill>
              </fill>
            </x14:dxf>
          </x14:cfRule>
          <x14:cfRule type="cellIs" priority="128" operator="equal" id="{3B90326B-6DF4-4714-B6E7-BBAA7738DAE9}">
            <xm:f>Metrics!$B$4</xm:f>
            <x14:dxf>
              <font>
                <color theme="0"/>
              </font>
              <fill>
                <patternFill>
                  <bgColor rgb="FFFF0000"/>
                </patternFill>
              </fill>
            </x14:dxf>
          </x14:cfRule>
          <x14:cfRule type="cellIs" priority="129" operator="equal" id="{558C2357-DA73-431B-B415-58E6D75729CD}">
            <xm:f>Metrics!$B$3</xm:f>
            <x14:dxf>
              <font>
                <color theme="0" tint="-0.14996795556505021"/>
              </font>
              <fill>
                <patternFill>
                  <bgColor theme="0"/>
                </patternFill>
              </fill>
            </x14:dxf>
          </x14:cfRule>
          <xm:sqref>D48</xm:sqref>
        </x14:conditionalFormatting>
        <x14:conditionalFormatting xmlns:xm="http://schemas.microsoft.com/office/excel/2006/main">
          <x14:cfRule type="cellIs" priority="111" operator="equal" id="{BE832449-DED9-46A3-BC0A-7F971D27B89D}">
            <xm:f>Metrics!$B$10</xm:f>
            <x14:dxf>
              <font>
                <color theme="0"/>
              </font>
              <fill>
                <patternFill>
                  <bgColor theme="0" tint="-0.34998626667073579"/>
                </patternFill>
              </fill>
            </x14:dxf>
          </x14:cfRule>
          <x14:cfRule type="cellIs" priority="112" operator="equal" id="{AE363872-6E40-4EE8-857C-953FA5DB89BC}">
            <xm:f>Metrics!$B$9</xm:f>
            <x14:dxf>
              <font>
                <color theme="0"/>
              </font>
              <fill>
                <patternFill>
                  <bgColor rgb="FF336600"/>
                </patternFill>
              </fill>
            </x14:dxf>
          </x14:cfRule>
          <x14:cfRule type="cellIs" priority="113" operator="equal" id="{5D377DC4-2193-4ED6-8307-715A20B51E33}">
            <xm:f>Metrics!$B$8</xm:f>
            <x14:dxf>
              <font>
                <color theme="0"/>
              </font>
              <fill>
                <patternFill>
                  <bgColor rgb="FF92D050"/>
                </patternFill>
              </fill>
            </x14:dxf>
          </x14:cfRule>
          <x14:cfRule type="cellIs" priority="114" operator="equal" id="{506C1623-7E68-4C21-9DD5-F79BA331C6A8}">
            <xm:f>Metrics!$B$7</xm:f>
            <x14:dxf>
              <font>
                <color theme="0"/>
              </font>
              <fill>
                <patternFill>
                  <bgColor rgb="FFFFC000"/>
                </patternFill>
              </fill>
            </x14:dxf>
          </x14:cfRule>
          <x14:cfRule type="cellIs" priority="115" operator="equal" id="{F50F957B-C7E7-4382-A553-A8531C7DCE3D}">
            <xm:f>Metrics!$B$6</xm:f>
            <x14:dxf>
              <font>
                <color theme="0"/>
              </font>
              <fill>
                <patternFill>
                  <bgColor theme="2" tint="-0.499984740745262"/>
                </patternFill>
              </fill>
            </x14:dxf>
          </x14:cfRule>
          <x14:cfRule type="cellIs" priority="116" operator="equal" id="{CB69FF99-2F9D-4879-85D1-B826BCC2FA28}">
            <xm:f>Metrics!$B$5</xm:f>
            <x14:dxf>
              <font>
                <color theme="0"/>
              </font>
              <fill>
                <patternFill>
                  <bgColor rgb="FFC00000"/>
                </patternFill>
              </fill>
            </x14:dxf>
          </x14:cfRule>
          <x14:cfRule type="cellIs" priority="117" operator="equal" id="{B4BCB245-4FF1-4960-A8B8-6471E094D578}">
            <xm:f>Metrics!$B$4</xm:f>
            <x14:dxf>
              <font>
                <color theme="0"/>
              </font>
              <fill>
                <patternFill>
                  <bgColor rgb="FFFF0000"/>
                </patternFill>
              </fill>
            </x14:dxf>
          </x14:cfRule>
          <x14:cfRule type="cellIs" priority="118" operator="equal" id="{2FEE3671-04D0-45CF-A0F3-22B86BFACFFC}">
            <xm:f>Metrics!$B$3</xm:f>
            <x14:dxf>
              <font>
                <color theme="0" tint="-0.14996795556505021"/>
              </font>
              <fill>
                <patternFill>
                  <bgColor theme="0"/>
                </patternFill>
              </fill>
            </x14:dxf>
          </x14:cfRule>
          <xm:sqref>D51</xm:sqref>
        </x14:conditionalFormatting>
        <x14:conditionalFormatting xmlns:xm="http://schemas.microsoft.com/office/excel/2006/main">
          <x14:cfRule type="cellIs" priority="89" operator="equal" id="{4E4BEA0D-B8C7-4E43-95BE-BDE0FE7DAC0F}">
            <xm:f>Metrics!$B$10</xm:f>
            <x14:dxf>
              <font>
                <color theme="0"/>
              </font>
              <fill>
                <patternFill>
                  <bgColor theme="0" tint="-0.34998626667073579"/>
                </patternFill>
              </fill>
            </x14:dxf>
          </x14:cfRule>
          <x14:cfRule type="cellIs" priority="90" operator="equal" id="{974E13E7-57AE-4AA1-A54C-7F9EA17E6D26}">
            <xm:f>Metrics!$B$9</xm:f>
            <x14:dxf>
              <font>
                <color theme="0"/>
              </font>
              <fill>
                <patternFill>
                  <bgColor rgb="FF336600"/>
                </patternFill>
              </fill>
            </x14:dxf>
          </x14:cfRule>
          <x14:cfRule type="cellIs" priority="91" operator="equal" id="{8C3012B6-D839-44C1-8849-4AF6608E6C99}">
            <xm:f>Metrics!$B$8</xm:f>
            <x14:dxf>
              <font>
                <color theme="0"/>
              </font>
              <fill>
                <patternFill>
                  <bgColor rgb="FF92D050"/>
                </patternFill>
              </fill>
            </x14:dxf>
          </x14:cfRule>
          <x14:cfRule type="cellIs" priority="92" operator="equal" id="{FE1A8298-5BFB-442B-BD6E-BD0626A7F3B4}">
            <xm:f>Metrics!$B$7</xm:f>
            <x14:dxf>
              <font>
                <color theme="0"/>
              </font>
              <fill>
                <patternFill>
                  <bgColor rgb="FFFFC000"/>
                </patternFill>
              </fill>
            </x14:dxf>
          </x14:cfRule>
          <x14:cfRule type="cellIs" priority="93" operator="equal" id="{DF5B94E7-4C18-40B4-81C7-B13ACB46EE8B}">
            <xm:f>Metrics!$B$6</xm:f>
            <x14:dxf>
              <font>
                <color theme="0"/>
              </font>
              <fill>
                <patternFill>
                  <bgColor theme="2" tint="-0.499984740745262"/>
                </patternFill>
              </fill>
            </x14:dxf>
          </x14:cfRule>
          <x14:cfRule type="cellIs" priority="94" operator="equal" id="{B21A601E-BFAC-431D-9EF5-402753D51512}">
            <xm:f>Metrics!$B$5</xm:f>
            <x14:dxf>
              <font>
                <color theme="0"/>
              </font>
              <fill>
                <patternFill>
                  <bgColor rgb="FFC00000"/>
                </patternFill>
              </fill>
            </x14:dxf>
          </x14:cfRule>
          <x14:cfRule type="cellIs" priority="95" operator="equal" id="{138B0368-8959-4578-BD62-878605261BE8}">
            <xm:f>Metrics!$B$4</xm:f>
            <x14:dxf>
              <font>
                <color theme="0"/>
              </font>
              <fill>
                <patternFill>
                  <bgColor rgb="FFFF0000"/>
                </patternFill>
              </fill>
            </x14:dxf>
          </x14:cfRule>
          <x14:cfRule type="cellIs" priority="96" operator="equal" id="{7A3342E6-2773-421C-B65F-B01890E2EEEF}">
            <xm:f>Metrics!$B$3</xm:f>
            <x14:dxf>
              <font>
                <color theme="0" tint="-0.14996795556505021"/>
              </font>
              <fill>
                <patternFill>
                  <bgColor theme="0"/>
                </patternFill>
              </fill>
            </x14:dxf>
          </x14:cfRule>
          <xm:sqref>D55</xm:sqref>
        </x14:conditionalFormatting>
        <x14:conditionalFormatting xmlns:xm="http://schemas.microsoft.com/office/excel/2006/main">
          <x14:cfRule type="cellIs" priority="78" operator="equal" id="{C503FE54-F0A9-4319-B5A7-844A8AA7945D}">
            <xm:f>Metrics!$B$10</xm:f>
            <x14:dxf>
              <font>
                <color theme="0"/>
              </font>
              <fill>
                <patternFill>
                  <bgColor theme="0" tint="-0.34998626667073579"/>
                </patternFill>
              </fill>
            </x14:dxf>
          </x14:cfRule>
          <x14:cfRule type="cellIs" priority="79" operator="equal" id="{08E17A57-5ACE-4884-80A8-93BECA066BF6}">
            <xm:f>Metrics!$B$9</xm:f>
            <x14:dxf>
              <font>
                <color theme="0"/>
              </font>
              <fill>
                <patternFill>
                  <bgColor rgb="FF336600"/>
                </patternFill>
              </fill>
            </x14:dxf>
          </x14:cfRule>
          <x14:cfRule type="cellIs" priority="80" operator="equal" id="{B1D5E819-B4ED-4298-A2F7-AF4123A50707}">
            <xm:f>Metrics!$B$8</xm:f>
            <x14:dxf>
              <font>
                <color theme="0"/>
              </font>
              <fill>
                <patternFill>
                  <bgColor rgb="FF92D050"/>
                </patternFill>
              </fill>
            </x14:dxf>
          </x14:cfRule>
          <x14:cfRule type="cellIs" priority="81" operator="equal" id="{D9B0CC85-B886-40EA-A645-9D27D95CFADB}">
            <xm:f>Metrics!$B$7</xm:f>
            <x14:dxf>
              <font>
                <color theme="0"/>
              </font>
              <fill>
                <patternFill>
                  <bgColor rgb="FFFFC000"/>
                </patternFill>
              </fill>
            </x14:dxf>
          </x14:cfRule>
          <x14:cfRule type="cellIs" priority="82" operator="equal" id="{4A9558D0-E3CA-409B-B379-64F02BC26443}">
            <xm:f>Metrics!$B$6</xm:f>
            <x14:dxf>
              <font>
                <color theme="0"/>
              </font>
              <fill>
                <patternFill>
                  <bgColor theme="2" tint="-0.499984740745262"/>
                </patternFill>
              </fill>
            </x14:dxf>
          </x14:cfRule>
          <x14:cfRule type="cellIs" priority="83" operator="equal" id="{F5F5DC10-EDCC-42C9-8C4D-429733C8EAD1}">
            <xm:f>Metrics!$B$5</xm:f>
            <x14:dxf>
              <font>
                <color theme="0"/>
              </font>
              <fill>
                <patternFill>
                  <bgColor rgb="FFC00000"/>
                </patternFill>
              </fill>
            </x14:dxf>
          </x14:cfRule>
          <x14:cfRule type="cellIs" priority="84" operator="equal" id="{52204D0D-66C5-43E8-869F-52C4A53A08F5}">
            <xm:f>Metrics!$B$4</xm:f>
            <x14:dxf>
              <font>
                <color theme="0"/>
              </font>
              <fill>
                <patternFill>
                  <bgColor rgb="FFFF0000"/>
                </patternFill>
              </fill>
            </x14:dxf>
          </x14:cfRule>
          <x14:cfRule type="cellIs" priority="85" operator="equal" id="{408FBAC4-1315-4819-92EC-53051D2AB44F}">
            <xm:f>Metrics!$B$3</xm:f>
            <x14:dxf>
              <font>
                <color theme="0" tint="-0.14996795556505021"/>
              </font>
              <fill>
                <patternFill>
                  <bgColor theme="0"/>
                </patternFill>
              </fill>
            </x14:dxf>
          </x14:cfRule>
          <xm:sqref>D58</xm:sqref>
        </x14:conditionalFormatting>
        <x14:conditionalFormatting xmlns:xm="http://schemas.microsoft.com/office/excel/2006/main">
          <x14:cfRule type="cellIs" priority="67" operator="equal" id="{56E3311F-294E-40B3-9710-E260D16A22A8}">
            <xm:f>Metrics!$B$10</xm:f>
            <x14:dxf>
              <font>
                <color theme="0"/>
              </font>
              <fill>
                <patternFill>
                  <bgColor theme="0" tint="-0.34998626667073579"/>
                </patternFill>
              </fill>
            </x14:dxf>
          </x14:cfRule>
          <x14:cfRule type="cellIs" priority="68" operator="equal" id="{16AECB2D-3BA4-432E-BA53-B9A9B7DCEF96}">
            <xm:f>Metrics!$B$9</xm:f>
            <x14:dxf>
              <font>
                <color theme="0"/>
              </font>
              <fill>
                <patternFill>
                  <bgColor rgb="FF336600"/>
                </patternFill>
              </fill>
            </x14:dxf>
          </x14:cfRule>
          <x14:cfRule type="cellIs" priority="69" operator="equal" id="{080E820B-6DC9-48A8-A59B-FBA0E21678DE}">
            <xm:f>Metrics!$B$8</xm:f>
            <x14:dxf>
              <font>
                <color theme="0"/>
              </font>
              <fill>
                <patternFill>
                  <bgColor rgb="FF92D050"/>
                </patternFill>
              </fill>
            </x14:dxf>
          </x14:cfRule>
          <x14:cfRule type="cellIs" priority="70" operator="equal" id="{AF938F33-DEF4-414F-B4C4-F6975C7283D2}">
            <xm:f>Metrics!$B$7</xm:f>
            <x14:dxf>
              <font>
                <color theme="0"/>
              </font>
              <fill>
                <patternFill>
                  <bgColor rgb="FFFFC000"/>
                </patternFill>
              </fill>
            </x14:dxf>
          </x14:cfRule>
          <x14:cfRule type="cellIs" priority="71" operator="equal" id="{1A69CEF4-D271-4466-9E23-A7EEABD1CFD8}">
            <xm:f>Metrics!$B$6</xm:f>
            <x14:dxf>
              <font>
                <color theme="0"/>
              </font>
              <fill>
                <patternFill>
                  <bgColor theme="2" tint="-0.499984740745262"/>
                </patternFill>
              </fill>
            </x14:dxf>
          </x14:cfRule>
          <x14:cfRule type="cellIs" priority="72" operator="equal" id="{94063A67-A06C-4AC7-AF73-C0F26F6C5F39}">
            <xm:f>Metrics!$B$5</xm:f>
            <x14:dxf>
              <font>
                <color theme="0"/>
              </font>
              <fill>
                <patternFill>
                  <bgColor rgb="FFC00000"/>
                </patternFill>
              </fill>
            </x14:dxf>
          </x14:cfRule>
          <x14:cfRule type="cellIs" priority="73" operator="equal" id="{4773BE89-F4F2-4499-A1BF-39514A97EEE2}">
            <xm:f>Metrics!$B$4</xm:f>
            <x14:dxf>
              <font>
                <color theme="0"/>
              </font>
              <fill>
                <patternFill>
                  <bgColor rgb="FFFF0000"/>
                </patternFill>
              </fill>
            </x14:dxf>
          </x14:cfRule>
          <x14:cfRule type="cellIs" priority="74" operator="equal" id="{64934343-7688-497D-A06A-5A657434EFFC}">
            <xm:f>Metrics!$B$3</xm:f>
            <x14:dxf>
              <font>
                <color theme="0" tint="-0.14996795556505021"/>
              </font>
              <fill>
                <patternFill>
                  <bgColor theme="0"/>
                </patternFill>
              </fill>
            </x14:dxf>
          </x14:cfRule>
          <xm:sqref>D60</xm:sqref>
        </x14:conditionalFormatting>
        <x14:conditionalFormatting xmlns:xm="http://schemas.microsoft.com/office/excel/2006/main">
          <x14:cfRule type="cellIs" priority="56" operator="equal" id="{549E2BAB-C482-483E-B64A-C4EE42783137}">
            <xm:f>Metrics!$B$10</xm:f>
            <x14:dxf>
              <font>
                <color theme="0"/>
              </font>
              <fill>
                <patternFill>
                  <bgColor theme="0" tint="-0.34998626667073579"/>
                </patternFill>
              </fill>
            </x14:dxf>
          </x14:cfRule>
          <x14:cfRule type="cellIs" priority="57" operator="equal" id="{69A21A13-080F-407E-9956-268E64A18A2F}">
            <xm:f>Metrics!$B$9</xm:f>
            <x14:dxf>
              <font>
                <color theme="0"/>
              </font>
              <fill>
                <patternFill>
                  <bgColor rgb="FF336600"/>
                </patternFill>
              </fill>
            </x14:dxf>
          </x14:cfRule>
          <x14:cfRule type="cellIs" priority="58" operator="equal" id="{ABEC3309-58B8-44C4-A3D5-D62933FBAD45}">
            <xm:f>Metrics!$B$8</xm:f>
            <x14:dxf>
              <font>
                <color theme="0"/>
              </font>
              <fill>
                <patternFill>
                  <bgColor rgb="FF92D050"/>
                </patternFill>
              </fill>
            </x14:dxf>
          </x14:cfRule>
          <x14:cfRule type="cellIs" priority="59" operator="equal" id="{E8D7CD6C-7CE5-4064-BD50-216C0D29A6E3}">
            <xm:f>Metrics!$B$7</xm:f>
            <x14:dxf>
              <font>
                <color theme="0"/>
              </font>
              <fill>
                <patternFill>
                  <bgColor rgb="FFFFC000"/>
                </patternFill>
              </fill>
            </x14:dxf>
          </x14:cfRule>
          <x14:cfRule type="cellIs" priority="60" operator="equal" id="{47AA5DD8-FEF4-411D-A633-D0EACD643B10}">
            <xm:f>Metrics!$B$6</xm:f>
            <x14:dxf>
              <font>
                <color theme="0"/>
              </font>
              <fill>
                <patternFill>
                  <bgColor theme="2" tint="-0.499984740745262"/>
                </patternFill>
              </fill>
            </x14:dxf>
          </x14:cfRule>
          <x14:cfRule type="cellIs" priority="61" operator="equal" id="{FD0704CC-7654-45FB-B337-ECEE72402B9C}">
            <xm:f>Metrics!$B$5</xm:f>
            <x14:dxf>
              <font>
                <color theme="0"/>
              </font>
              <fill>
                <patternFill>
                  <bgColor rgb="FFC00000"/>
                </patternFill>
              </fill>
            </x14:dxf>
          </x14:cfRule>
          <x14:cfRule type="cellIs" priority="62" operator="equal" id="{D4589E43-341F-4D70-BA52-0578C0D31A99}">
            <xm:f>Metrics!$B$4</xm:f>
            <x14:dxf>
              <font>
                <color theme="0"/>
              </font>
              <fill>
                <patternFill>
                  <bgColor rgb="FFFF0000"/>
                </patternFill>
              </fill>
            </x14:dxf>
          </x14:cfRule>
          <x14:cfRule type="cellIs" priority="63" operator="equal" id="{53FDDF0C-B43A-4850-8A37-9A9645633205}">
            <xm:f>Metrics!$B$3</xm:f>
            <x14:dxf>
              <font>
                <color theme="0" tint="-0.14996795556505021"/>
              </font>
              <fill>
                <patternFill>
                  <bgColor theme="0"/>
                </patternFill>
              </fill>
            </x14:dxf>
          </x14:cfRule>
          <xm:sqref>D15</xm:sqref>
        </x14:conditionalFormatting>
        <x14:conditionalFormatting xmlns:xm="http://schemas.microsoft.com/office/excel/2006/main">
          <x14:cfRule type="cellIs" priority="45" operator="equal" id="{51354B14-54C9-45BF-BF8E-73A5EE946A78}">
            <xm:f>Metrics!$B$10</xm:f>
            <x14:dxf>
              <font>
                <color theme="0"/>
              </font>
              <fill>
                <patternFill>
                  <bgColor theme="0" tint="-0.34998626667073579"/>
                </patternFill>
              </fill>
            </x14:dxf>
          </x14:cfRule>
          <x14:cfRule type="cellIs" priority="46" operator="equal" id="{CCAF9246-B295-4C93-80CB-A20ED350C05A}">
            <xm:f>Metrics!$B$9</xm:f>
            <x14:dxf>
              <font>
                <color theme="0"/>
              </font>
              <fill>
                <patternFill>
                  <bgColor rgb="FF336600"/>
                </patternFill>
              </fill>
            </x14:dxf>
          </x14:cfRule>
          <x14:cfRule type="cellIs" priority="47" operator="equal" id="{9F9FE5A5-E5E1-49AA-AF52-2F38E2D1363A}">
            <xm:f>Metrics!$B$8</xm:f>
            <x14:dxf>
              <font>
                <color theme="0"/>
              </font>
              <fill>
                <patternFill>
                  <bgColor rgb="FF92D050"/>
                </patternFill>
              </fill>
            </x14:dxf>
          </x14:cfRule>
          <x14:cfRule type="cellIs" priority="48" operator="equal" id="{A0C9B695-5629-48C7-B3F4-4AA5B6C097D9}">
            <xm:f>Metrics!$B$7</xm:f>
            <x14:dxf>
              <font>
                <color theme="0"/>
              </font>
              <fill>
                <patternFill>
                  <bgColor rgb="FFFFC000"/>
                </patternFill>
              </fill>
            </x14:dxf>
          </x14:cfRule>
          <x14:cfRule type="cellIs" priority="49" operator="equal" id="{2751B24F-8F06-4332-969B-9B704A8DC1D3}">
            <xm:f>Metrics!$B$6</xm:f>
            <x14:dxf>
              <font>
                <color theme="0"/>
              </font>
              <fill>
                <patternFill>
                  <bgColor theme="2" tint="-0.499984740745262"/>
                </patternFill>
              </fill>
            </x14:dxf>
          </x14:cfRule>
          <x14:cfRule type="cellIs" priority="50" operator="equal" id="{7AE038E0-CEA4-4E35-9158-0D87BAADD0EF}">
            <xm:f>Metrics!$B$5</xm:f>
            <x14:dxf>
              <font>
                <color theme="0"/>
              </font>
              <fill>
                <patternFill>
                  <bgColor rgb="FFC00000"/>
                </patternFill>
              </fill>
            </x14:dxf>
          </x14:cfRule>
          <x14:cfRule type="cellIs" priority="51" operator="equal" id="{490B0A02-FC03-492C-8EB5-A42BD0A55659}">
            <xm:f>Metrics!$B$4</xm:f>
            <x14:dxf>
              <font>
                <color theme="0"/>
              </font>
              <fill>
                <patternFill>
                  <bgColor rgb="FFFF0000"/>
                </patternFill>
              </fill>
            </x14:dxf>
          </x14:cfRule>
          <x14:cfRule type="cellIs" priority="52" operator="equal" id="{0591C55F-7652-463F-BFD0-94ADE5AB1B7D}">
            <xm:f>Metrics!$B$3</xm:f>
            <x14:dxf>
              <font>
                <color theme="0" tint="-0.14996795556505021"/>
              </font>
              <fill>
                <patternFill>
                  <bgColor theme="0"/>
                </patternFill>
              </fill>
            </x14:dxf>
          </x14:cfRule>
          <xm:sqref>D17</xm:sqref>
        </x14:conditionalFormatting>
        <x14:conditionalFormatting xmlns:xm="http://schemas.microsoft.com/office/excel/2006/main">
          <x14:cfRule type="cellIs" priority="34" operator="equal" id="{6DE3A6E9-1FCC-4E6A-ACDD-318EFA20EA8C}">
            <xm:f>Metrics!$B$10</xm:f>
            <x14:dxf>
              <font>
                <color theme="0"/>
              </font>
              <fill>
                <patternFill>
                  <bgColor theme="0" tint="-0.34998626667073579"/>
                </patternFill>
              </fill>
            </x14:dxf>
          </x14:cfRule>
          <x14:cfRule type="cellIs" priority="35" operator="equal" id="{2BF069B5-C0A8-4136-B259-DBC2BD1D1301}">
            <xm:f>Metrics!$B$9</xm:f>
            <x14:dxf>
              <font>
                <color theme="0"/>
              </font>
              <fill>
                <patternFill>
                  <bgColor rgb="FF336600"/>
                </patternFill>
              </fill>
            </x14:dxf>
          </x14:cfRule>
          <x14:cfRule type="cellIs" priority="36" operator="equal" id="{D7762559-529A-4C8E-BD23-1B96C80C9AB8}">
            <xm:f>Metrics!$B$8</xm:f>
            <x14:dxf>
              <font>
                <color theme="0"/>
              </font>
              <fill>
                <patternFill>
                  <bgColor rgb="FF92D050"/>
                </patternFill>
              </fill>
            </x14:dxf>
          </x14:cfRule>
          <x14:cfRule type="cellIs" priority="37" operator="equal" id="{5A5DA407-73CC-4CA9-AADB-BBB7903E5FD1}">
            <xm:f>Metrics!$B$7</xm:f>
            <x14:dxf>
              <font>
                <color theme="0"/>
              </font>
              <fill>
                <patternFill>
                  <bgColor rgb="FFFFC000"/>
                </patternFill>
              </fill>
            </x14:dxf>
          </x14:cfRule>
          <x14:cfRule type="cellIs" priority="38" operator="equal" id="{9CC53C65-3882-416C-85A4-8DFD01C3F860}">
            <xm:f>Metrics!$B$6</xm:f>
            <x14:dxf>
              <font>
                <color theme="0"/>
              </font>
              <fill>
                <patternFill>
                  <bgColor theme="2" tint="-0.499984740745262"/>
                </patternFill>
              </fill>
            </x14:dxf>
          </x14:cfRule>
          <x14:cfRule type="cellIs" priority="39" operator="equal" id="{4AE707D0-EA18-42F0-9811-53BD43BEB847}">
            <xm:f>Metrics!$B$5</xm:f>
            <x14:dxf>
              <font>
                <color theme="0"/>
              </font>
              <fill>
                <patternFill>
                  <bgColor rgb="FFC00000"/>
                </patternFill>
              </fill>
            </x14:dxf>
          </x14:cfRule>
          <x14:cfRule type="cellIs" priority="40" operator="equal" id="{D7FF02E9-E948-480D-A9A9-F263F0768263}">
            <xm:f>Metrics!$B$4</xm:f>
            <x14:dxf>
              <font>
                <color theme="0"/>
              </font>
              <fill>
                <patternFill>
                  <bgColor rgb="FFFF0000"/>
                </patternFill>
              </fill>
            </x14:dxf>
          </x14:cfRule>
          <x14:cfRule type="cellIs" priority="41" operator="equal" id="{7682B5C1-FF0C-4F4A-AFDB-CDC2C5A1A418}">
            <xm:f>Metrics!$B$3</xm:f>
            <x14:dxf>
              <font>
                <color theme="0" tint="-0.14996795556505021"/>
              </font>
              <fill>
                <patternFill>
                  <bgColor theme="0"/>
                </patternFill>
              </fill>
            </x14:dxf>
          </x14:cfRule>
          <xm:sqref>D28</xm:sqref>
        </x14:conditionalFormatting>
        <x14:conditionalFormatting xmlns:xm="http://schemas.microsoft.com/office/excel/2006/main">
          <x14:cfRule type="cellIs" priority="23" operator="equal" id="{B459B5B7-6935-42D7-8116-7C8310F87EDB}">
            <xm:f>Metrics!$B$10</xm:f>
            <x14:dxf>
              <font>
                <color theme="0"/>
              </font>
              <fill>
                <patternFill>
                  <bgColor theme="0" tint="-0.34998626667073579"/>
                </patternFill>
              </fill>
            </x14:dxf>
          </x14:cfRule>
          <x14:cfRule type="cellIs" priority="24" operator="equal" id="{21D4D873-C6F7-4D46-B981-A811B4AB5622}">
            <xm:f>Metrics!$B$9</xm:f>
            <x14:dxf>
              <font>
                <color theme="0"/>
              </font>
              <fill>
                <patternFill>
                  <bgColor rgb="FF336600"/>
                </patternFill>
              </fill>
            </x14:dxf>
          </x14:cfRule>
          <x14:cfRule type="cellIs" priority="25" operator="equal" id="{20C99968-F663-458A-BDB2-2DAD2C914357}">
            <xm:f>Metrics!$B$8</xm:f>
            <x14:dxf>
              <font>
                <color theme="0"/>
              </font>
              <fill>
                <patternFill>
                  <bgColor rgb="FF92D050"/>
                </patternFill>
              </fill>
            </x14:dxf>
          </x14:cfRule>
          <x14:cfRule type="cellIs" priority="26" operator="equal" id="{CC6455E9-D14D-42CE-B555-9D86DD7673F5}">
            <xm:f>Metrics!$B$7</xm:f>
            <x14:dxf>
              <font>
                <color theme="0"/>
              </font>
              <fill>
                <patternFill>
                  <bgColor rgb="FFFFC000"/>
                </patternFill>
              </fill>
            </x14:dxf>
          </x14:cfRule>
          <x14:cfRule type="cellIs" priority="27" operator="equal" id="{32F097B2-AB31-474F-8F22-82DD7E0C56EC}">
            <xm:f>Metrics!$B$6</xm:f>
            <x14:dxf>
              <font>
                <color theme="0"/>
              </font>
              <fill>
                <patternFill>
                  <bgColor theme="2" tint="-0.499984740745262"/>
                </patternFill>
              </fill>
            </x14:dxf>
          </x14:cfRule>
          <x14:cfRule type="cellIs" priority="28" operator="equal" id="{A32D1CD1-4646-4A9D-85E6-7F403960D697}">
            <xm:f>Metrics!$B$5</xm:f>
            <x14:dxf>
              <font>
                <color theme="0"/>
              </font>
              <fill>
                <patternFill>
                  <bgColor rgb="FFC00000"/>
                </patternFill>
              </fill>
            </x14:dxf>
          </x14:cfRule>
          <x14:cfRule type="cellIs" priority="29" operator="equal" id="{DF71481A-FB45-4291-8C8C-36E4A62569B9}">
            <xm:f>Metrics!$B$4</xm:f>
            <x14:dxf>
              <font>
                <color theme="0"/>
              </font>
              <fill>
                <patternFill>
                  <bgColor rgb="FFFF0000"/>
                </patternFill>
              </fill>
            </x14:dxf>
          </x14:cfRule>
          <x14:cfRule type="cellIs" priority="30" operator="equal" id="{B45D3D0C-4B5D-45A5-9619-E86129CBED85}">
            <xm:f>Metrics!$B$3</xm:f>
            <x14:dxf>
              <font>
                <color theme="0" tint="-0.14996795556505021"/>
              </font>
              <fill>
                <patternFill>
                  <bgColor theme="0"/>
                </patternFill>
              </fill>
            </x14:dxf>
          </x14:cfRule>
          <xm:sqref>D5</xm:sqref>
        </x14:conditionalFormatting>
        <x14:conditionalFormatting xmlns:xm="http://schemas.microsoft.com/office/excel/2006/main">
          <x14:cfRule type="cellIs" priority="12" operator="equal" id="{D7568EB6-13DC-46AC-AA85-86D08F4DCAF3}">
            <xm:f>Metrics!$B$10</xm:f>
            <x14:dxf>
              <font>
                <color theme="0"/>
              </font>
              <fill>
                <patternFill>
                  <bgColor theme="0" tint="-0.34998626667073579"/>
                </patternFill>
              </fill>
            </x14:dxf>
          </x14:cfRule>
          <x14:cfRule type="cellIs" priority="13" operator="equal" id="{F71F9F96-0A6C-49DD-B528-EAEF4CE52087}">
            <xm:f>Metrics!$B$9</xm:f>
            <x14:dxf>
              <font>
                <color theme="0"/>
              </font>
              <fill>
                <patternFill>
                  <bgColor rgb="FF336600"/>
                </patternFill>
              </fill>
            </x14:dxf>
          </x14:cfRule>
          <x14:cfRule type="cellIs" priority="14" operator="equal" id="{2CC25406-A92C-4CE2-AAD8-3F65A51283DC}">
            <xm:f>Metrics!$B$8</xm:f>
            <x14:dxf>
              <font>
                <color theme="0"/>
              </font>
              <fill>
                <patternFill>
                  <bgColor rgb="FF92D050"/>
                </patternFill>
              </fill>
            </x14:dxf>
          </x14:cfRule>
          <x14:cfRule type="cellIs" priority="15" operator="equal" id="{1276494F-DB56-4F90-930C-703813B9E06A}">
            <xm:f>Metrics!$B$7</xm:f>
            <x14:dxf>
              <font>
                <color theme="0"/>
              </font>
              <fill>
                <patternFill>
                  <bgColor rgb="FFFFC000"/>
                </patternFill>
              </fill>
            </x14:dxf>
          </x14:cfRule>
          <x14:cfRule type="cellIs" priority="16" operator="equal" id="{058EF428-FD9F-4A7E-AF3A-C5899D4422C2}">
            <xm:f>Metrics!$B$6</xm:f>
            <x14:dxf>
              <font>
                <color theme="0"/>
              </font>
              <fill>
                <patternFill>
                  <bgColor theme="2" tint="-0.499984740745262"/>
                </patternFill>
              </fill>
            </x14:dxf>
          </x14:cfRule>
          <x14:cfRule type="cellIs" priority="17" operator="equal" id="{FB8C9EB7-90F8-4E14-A750-A2E122C5CD8E}">
            <xm:f>Metrics!$B$5</xm:f>
            <x14:dxf>
              <font>
                <color theme="0"/>
              </font>
              <fill>
                <patternFill>
                  <bgColor rgb="FFC00000"/>
                </patternFill>
              </fill>
            </x14:dxf>
          </x14:cfRule>
          <x14:cfRule type="cellIs" priority="18" operator="equal" id="{F7D28D56-FBC9-416D-90A8-BD0533DD5DA4}">
            <xm:f>Metrics!$B$4</xm:f>
            <x14:dxf>
              <font>
                <color theme="0"/>
              </font>
              <fill>
                <patternFill>
                  <bgColor rgb="FFFF0000"/>
                </patternFill>
              </fill>
            </x14:dxf>
          </x14:cfRule>
          <x14:cfRule type="cellIs" priority="19" operator="equal" id="{793DC939-00F7-470E-BBBD-E64973574135}">
            <xm:f>Metrics!$B$3</xm:f>
            <x14:dxf>
              <font>
                <color theme="0" tint="-0.14996795556505021"/>
              </font>
              <fill>
                <patternFill>
                  <bgColor theme="0"/>
                </patternFill>
              </fill>
            </x14:dxf>
          </x14:cfRule>
          <xm:sqref>D44</xm:sqref>
        </x14:conditionalFormatting>
        <x14:conditionalFormatting xmlns:xm="http://schemas.microsoft.com/office/excel/2006/main">
          <x14:cfRule type="cellIs" priority="1" operator="equal" id="{D5D5BC44-35C1-4C14-8B65-68EABDC7BC2E}">
            <xm:f>Metrics!$B$10</xm:f>
            <x14:dxf>
              <font>
                <color theme="0"/>
              </font>
              <fill>
                <patternFill>
                  <bgColor theme="0" tint="-0.34998626667073579"/>
                </patternFill>
              </fill>
            </x14:dxf>
          </x14:cfRule>
          <x14:cfRule type="cellIs" priority="2" operator="equal" id="{79460161-FE93-46F6-874D-3452DE92D106}">
            <xm:f>Metrics!$B$9</xm:f>
            <x14:dxf>
              <font>
                <color theme="0"/>
              </font>
              <fill>
                <patternFill>
                  <bgColor rgb="FF336600"/>
                </patternFill>
              </fill>
            </x14:dxf>
          </x14:cfRule>
          <x14:cfRule type="cellIs" priority="3" operator="equal" id="{1262B174-BDD0-468D-BE64-293655FAA9F1}">
            <xm:f>Metrics!$B$8</xm:f>
            <x14:dxf>
              <font>
                <color theme="0"/>
              </font>
              <fill>
                <patternFill>
                  <bgColor rgb="FF92D050"/>
                </patternFill>
              </fill>
            </x14:dxf>
          </x14:cfRule>
          <x14:cfRule type="cellIs" priority="4" operator="equal" id="{802BCDB6-8E74-4714-A3FE-150A1C160770}">
            <xm:f>Metrics!$B$7</xm:f>
            <x14:dxf>
              <font>
                <color theme="0"/>
              </font>
              <fill>
                <patternFill>
                  <bgColor rgb="FFFFC000"/>
                </patternFill>
              </fill>
            </x14:dxf>
          </x14:cfRule>
          <x14:cfRule type="cellIs" priority="5" operator="equal" id="{20744B0A-7979-4126-AA58-FCF5C2A719A9}">
            <xm:f>Metrics!$B$6</xm:f>
            <x14:dxf>
              <font>
                <color theme="0"/>
              </font>
              <fill>
                <patternFill>
                  <bgColor theme="2" tint="-0.499984740745262"/>
                </patternFill>
              </fill>
            </x14:dxf>
          </x14:cfRule>
          <x14:cfRule type="cellIs" priority="6" operator="equal" id="{138353F9-F05D-422C-8C30-F97CD0E91CEA}">
            <xm:f>Metrics!$B$5</xm:f>
            <x14:dxf>
              <font>
                <color theme="0"/>
              </font>
              <fill>
                <patternFill>
                  <bgColor rgb="FFC00000"/>
                </patternFill>
              </fill>
            </x14:dxf>
          </x14:cfRule>
          <x14:cfRule type="cellIs" priority="7" operator="equal" id="{31F23E30-05A9-4D05-8CEA-CA165CD1B39E}">
            <xm:f>Metrics!$B$4</xm:f>
            <x14:dxf>
              <font>
                <color theme="0"/>
              </font>
              <fill>
                <patternFill>
                  <bgColor rgb="FFFF0000"/>
                </patternFill>
              </fill>
            </x14:dxf>
          </x14:cfRule>
          <x14:cfRule type="cellIs" priority="8" operator="equal" id="{8986BD7F-8B23-4C88-866F-B09A89CE20F0}">
            <xm:f>Metrics!$B$3</xm:f>
            <x14:dxf>
              <font>
                <color theme="0" tint="-0.14996795556505021"/>
              </font>
              <fill>
                <patternFill>
                  <bgColor theme="0"/>
                </patternFill>
              </fill>
            </x14:dxf>
          </x14:cfRule>
          <xm:sqref>D53</xm:sqref>
        </x14:conditionalFormatting>
      </x14:conditionalFormattings>
    </ext>
    <ext xmlns:x14="http://schemas.microsoft.com/office/spreadsheetml/2009/9/main" uri="{CCE6A557-97BC-4b89-ADB6-D9C93CAAB3DF}">
      <x14:dataValidations xmlns:xm="http://schemas.microsoft.com/office/excel/2006/main" count="1">
        <x14:dataValidation type="list" operator="equal" allowBlank="1" showInputMessage="1" showErrorMessage="1" promptTitle="Select status" xr:uid="{00000000-0002-0000-0100-000001000000}">
          <x14:formula1>
            <xm:f>Metrics!$B$3:$B$10</xm:f>
          </x14:formula1>
          <xm:sqref>D26 D7:D8 D10 D12 D60 D15 D19 D55 D28 D58 D17 D31 D33 D35 D37 D51 D5 D39:D41 D46 D48 D44 D22:D24 D53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R110"/>
  <sheetViews>
    <sheetView zoomScaleNormal="100" workbookViewId="0">
      <pane xSplit="1" ySplit="2" topLeftCell="B3" activePane="bottomRight" state="frozen"/>
      <selection pane="topRight" activeCell="B1" sqref="B1"/>
      <selection pane="bottomLeft" activeCell="A3" sqref="A3"/>
      <selection pane="bottomRight" activeCell="E36" sqref="E36"/>
    </sheetView>
  </sheetViews>
  <sheetFormatPr defaultColWidth="11.54296875" defaultRowHeight="13" x14ac:dyDescent="0.25"/>
  <cols>
    <col min="1" max="1" width="1.54296875" style="4" customWidth="1"/>
    <col min="2" max="2" width="8.54296875" style="4" customWidth="1"/>
    <col min="3" max="3" width="65.26953125" style="54" customWidth="1"/>
    <col min="4" max="4" width="14.7265625" style="9" customWidth="1"/>
    <col min="5" max="5" width="75.26953125" style="4" customWidth="1"/>
    <col min="6" max="252" width="30.26953125" style="8" customWidth="1"/>
    <col min="253" max="16384" width="11.54296875" style="5"/>
  </cols>
  <sheetData>
    <row r="1" spans="1:5" s="2" customFormat="1" ht="32.25" customHeight="1" thickBot="1" x14ac:dyDescent="0.3">
      <c r="A1" s="50"/>
      <c r="B1" s="100" t="s">
        <v>38</v>
      </c>
      <c r="C1" s="101"/>
      <c r="D1" s="101"/>
      <c r="E1" s="102"/>
    </row>
    <row r="2" spans="1:5" s="15" customFormat="1" ht="21.75" customHeight="1" x14ac:dyDescent="0.5">
      <c r="B2" s="49" t="s">
        <v>26</v>
      </c>
      <c r="C2" s="51" t="s">
        <v>37</v>
      </c>
      <c r="D2" s="42" t="s">
        <v>0</v>
      </c>
      <c r="E2" s="43" t="s">
        <v>15</v>
      </c>
    </row>
    <row r="3" spans="1:5" s="11" customFormat="1" ht="32.15" customHeight="1" x14ac:dyDescent="0.55000000000000004">
      <c r="B3" s="44" t="s">
        <v>32</v>
      </c>
      <c r="C3" s="103" t="s">
        <v>42</v>
      </c>
      <c r="D3" s="104"/>
      <c r="E3" s="105"/>
    </row>
    <row r="4" spans="1:5" s="25" customFormat="1" ht="22.5" customHeight="1" thickBot="1" x14ac:dyDescent="0.3">
      <c r="B4" s="69" t="s">
        <v>46</v>
      </c>
      <c r="C4" s="73" t="s">
        <v>141</v>
      </c>
      <c r="D4" s="39" t="s">
        <v>11</v>
      </c>
      <c r="E4" s="82" t="s">
        <v>340</v>
      </c>
    </row>
    <row r="5" spans="1:5" s="25" customFormat="1" ht="22.5" customHeight="1" thickBot="1" x14ac:dyDescent="0.3">
      <c r="B5" s="69" t="s">
        <v>47</v>
      </c>
      <c r="C5" s="73" t="s">
        <v>142</v>
      </c>
      <c r="D5" s="39" t="s">
        <v>11</v>
      </c>
      <c r="E5" s="82" t="s">
        <v>341</v>
      </c>
    </row>
    <row r="6" spans="1:5" s="25" customFormat="1" ht="22.5" customHeight="1" thickBot="1" x14ac:dyDescent="0.3">
      <c r="B6" s="69" t="s">
        <v>48</v>
      </c>
      <c r="C6" s="73" t="s">
        <v>143</v>
      </c>
      <c r="D6" s="39" t="s">
        <v>11</v>
      </c>
      <c r="E6" s="82" t="s">
        <v>342</v>
      </c>
    </row>
    <row r="7" spans="1:5" s="25" customFormat="1" ht="22.5" customHeight="1" thickBot="1" x14ac:dyDescent="0.3">
      <c r="B7" s="69" t="s">
        <v>49</v>
      </c>
      <c r="C7" s="73" t="s">
        <v>144</v>
      </c>
      <c r="D7" s="39" t="s">
        <v>11</v>
      </c>
      <c r="E7" s="82" t="s">
        <v>343</v>
      </c>
    </row>
    <row r="8" spans="1:5" s="25" customFormat="1" ht="22.5" customHeight="1" thickBot="1" x14ac:dyDescent="0.3">
      <c r="B8" s="69" t="s">
        <v>50</v>
      </c>
      <c r="C8" s="73" t="s">
        <v>145</v>
      </c>
      <c r="D8" s="39" t="s">
        <v>11</v>
      </c>
      <c r="E8" s="82" t="s">
        <v>344</v>
      </c>
    </row>
    <row r="9" spans="1:5" s="25" customFormat="1" ht="22.5" customHeight="1" thickBot="1" x14ac:dyDescent="0.3">
      <c r="B9" s="69" t="s">
        <v>51</v>
      </c>
      <c r="C9" s="73" t="s">
        <v>146</v>
      </c>
      <c r="D9" s="39" t="s">
        <v>11</v>
      </c>
      <c r="E9" s="82" t="s">
        <v>345</v>
      </c>
    </row>
    <row r="10" spans="1:5" s="25" customFormat="1" ht="22.5" customHeight="1" thickBot="1" x14ac:dyDescent="0.3">
      <c r="B10" s="69" t="s">
        <v>52</v>
      </c>
      <c r="C10" s="73" t="s">
        <v>147</v>
      </c>
      <c r="D10" s="39" t="s">
        <v>11</v>
      </c>
      <c r="E10" s="82" t="s">
        <v>346</v>
      </c>
    </row>
    <row r="11" spans="1:5" s="25" customFormat="1" ht="22.5" customHeight="1" thickBot="1" x14ac:dyDescent="0.3">
      <c r="B11" s="69" t="s">
        <v>53</v>
      </c>
      <c r="C11" s="73" t="s">
        <v>148</v>
      </c>
      <c r="D11" s="39" t="s">
        <v>11</v>
      </c>
      <c r="E11" s="82" t="s">
        <v>347</v>
      </c>
    </row>
    <row r="12" spans="1:5" s="25" customFormat="1" ht="22.5" customHeight="1" thickBot="1" x14ac:dyDescent="0.3">
      <c r="B12" s="69" t="s">
        <v>54</v>
      </c>
      <c r="C12" s="73" t="s">
        <v>149</v>
      </c>
      <c r="D12" s="39" t="s">
        <v>11</v>
      </c>
      <c r="E12" s="82" t="s">
        <v>347</v>
      </c>
    </row>
    <row r="13" spans="1:5" s="25" customFormat="1" ht="58.9" customHeight="1" thickBot="1" x14ac:dyDescent="0.3">
      <c r="B13" s="69" t="s">
        <v>55</v>
      </c>
      <c r="C13" s="73" t="s">
        <v>150</v>
      </c>
      <c r="D13" s="39" t="s">
        <v>11</v>
      </c>
      <c r="E13" s="82" t="s">
        <v>348</v>
      </c>
    </row>
    <row r="14" spans="1:5" s="25" customFormat="1" ht="22.5" customHeight="1" thickBot="1" x14ac:dyDescent="0.3">
      <c r="B14" s="69" t="s">
        <v>56</v>
      </c>
      <c r="C14" s="73" t="s">
        <v>151</v>
      </c>
      <c r="D14" s="39" t="s">
        <v>11</v>
      </c>
      <c r="E14" s="82" t="s">
        <v>349</v>
      </c>
    </row>
    <row r="15" spans="1:5" s="25" customFormat="1" ht="36" customHeight="1" thickBot="1" x14ac:dyDescent="0.3">
      <c r="B15" s="69" t="s">
        <v>57</v>
      </c>
      <c r="C15" s="73" t="s">
        <v>152</v>
      </c>
      <c r="D15" s="39" t="s">
        <v>11</v>
      </c>
      <c r="E15" s="82" t="s">
        <v>349</v>
      </c>
    </row>
    <row r="16" spans="1:5" s="25" customFormat="1" ht="32.5" customHeight="1" thickBot="1" x14ac:dyDescent="0.3">
      <c r="B16" s="69" t="s">
        <v>58</v>
      </c>
      <c r="C16" s="73" t="s">
        <v>153</v>
      </c>
      <c r="D16" s="39" t="s">
        <v>11</v>
      </c>
      <c r="E16" s="82" t="s">
        <v>349</v>
      </c>
    </row>
    <row r="17" spans="2:5" s="25" customFormat="1" ht="41.5" customHeight="1" thickBot="1" x14ac:dyDescent="0.3">
      <c r="B17" s="69" t="s">
        <v>59</v>
      </c>
      <c r="C17" s="73" t="s">
        <v>154</v>
      </c>
      <c r="D17" s="39" t="s">
        <v>11</v>
      </c>
      <c r="E17" s="82" t="s">
        <v>348</v>
      </c>
    </row>
    <row r="18" spans="2:5" s="25" customFormat="1" ht="30.65" customHeight="1" thickBot="1" x14ac:dyDescent="0.35">
      <c r="B18" s="69" t="s">
        <v>60</v>
      </c>
      <c r="C18" s="73" t="s">
        <v>155</v>
      </c>
      <c r="D18" s="39" t="s">
        <v>11</v>
      </c>
      <c r="E18" s="81" t="s">
        <v>350</v>
      </c>
    </row>
    <row r="19" spans="2:5" s="25" customFormat="1" ht="22.5" customHeight="1" thickBot="1" x14ac:dyDescent="0.35">
      <c r="B19" s="69" t="s">
        <v>61</v>
      </c>
      <c r="C19" s="73" t="s">
        <v>156</v>
      </c>
      <c r="D19" s="39" t="s">
        <v>11</v>
      </c>
      <c r="E19" s="81" t="s">
        <v>351</v>
      </c>
    </row>
    <row r="20" spans="2:5" s="25" customFormat="1" ht="36.5" thickBot="1" x14ac:dyDescent="0.35">
      <c r="B20" s="69" t="s">
        <v>62</v>
      </c>
      <c r="C20" s="73" t="s">
        <v>157</v>
      </c>
      <c r="D20" s="39" t="s">
        <v>11</v>
      </c>
      <c r="E20" s="81" t="s">
        <v>352</v>
      </c>
    </row>
    <row r="21" spans="2:5" s="25" customFormat="1" ht="36.5" thickBot="1" x14ac:dyDescent="0.35">
      <c r="B21" s="69" t="s">
        <v>63</v>
      </c>
      <c r="C21" s="73" t="s">
        <v>158</v>
      </c>
      <c r="D21" s="39" t="s">
        <v>11</v>
      </c>
      <c r="E21" s="81" t="s">
        <v>353</v>
      </c>
    </row>
    <row r="22" spans="2:5" s="25" customFormat="1" ht="54.65" customHeight="1" thickBot="1" x14ac:dyDescent="0.35">
      <c r="B22" s="69" t="s">
        <v>64</v>
      </c>
      <c r="C22" s="73" t="s">
        <v>159</v>
      </c>
      <c r="D22" s="39" t="s">
        <v>11</v>
      </c>
      <c r="E22" s="81" t="s">
        <v>354</v>
      </c>
    </row>
    <row r="23" spans="2:5" s="25" customFormat="1" ht="34.15" customHeight="1" thickBot="1" x14ac:dyDescent="0.35">
      <c r="B23" s="69" t="s">
        <v>65</v>
      </c>
      <c r="C23" s="73" t="s">
        <v>160</v>
      </c>
      <c r="D23" s="39" t="s">
        <v>11</v>
      </c>
      <c r="E23" s="81" t="s">
        <v>355</v>
      </c>
    </row>
    <row r="24" spans="2:5" s="25" customFormat="1" ht="40.9" customHeight="1" thickBot="1" x14ac:dyDescent="0.35">
      <c r="B24" s="69" t="s">
        <v>66</v>
      </c>
      <c r="C24" s="73" t="s">
        <v>161</v>
      </c>
      <c r="D24" s="39" t="s">
        <v>11</v>
      </c>
      <c r="E24" s="81" t="s">
        <v>355</v>
      </c>
    </row>
    <row r="25" spans="2:5" s="25" customFormat="1" ht="49.9" customHeight="1" thickBot="1" x14ac:dyDescent="0.35">
      <c r="B25" s="69" t="s">
        <v>67</v>
      </c>
      <c r="C25" s="73" t="s">
        <v>162</v>
      </c>
      <c r="D25" s="39" t="s">
        <v>11</v>
      </c>
      <c r="E25" s="81" t="s">
        <v>356</v>
      </c>
    </row>
    <row r="26" spans="2:5" s="25" customFormat="1" ht="30" customHeight="1" thickBot="1" x14ac:dyDescent="0.35">
      <c r="B26" s="69" t="s">
        <v>68</v>
      </c>
      <c r="C26" s="73" t="s">
        <v>163</v>
      </c>
      <c r="D26" s="39" t="s">
        <v>11</v>
      </c>
      <c r="E26" s="81" t="s">
        <v>357</v>
      </c>
    </row>
    <row r="27" spans="2:5" s="25" customFormat="1" ht="47.5" customHeight="1" thickBot="1" x14ac:dyDescent="0.35">
      <c r="B27" s="69" t="s">
        <v>69</v>
      </c>
      <c r="C27" s="73" t="s">
        <v>164</v>
      </c>
      <c r="D27" s="39" t="s">
        <v>11</v>
      </c>
      <c r="E27" s="81" t="s">
        <v>358</v>
      </c>
    </row>
    <row r="28" spans="2:5" s="25" customFormat="1" ht="48" customHeight="1" thickBot="1" x14ac:dyDescent="0.35">
      <c r="B28" s="69" t="s">
        <v>70</v>
      </c>
      <c r="C28" s="73" t="s">
        <v>165</v>
      </c>
      <c r="D28" s="39" t="s">
        <v>11</v>
      </c>
      <c r="E28" s="81" t="s">
        <v>359</v>
      </c>
    </row>
    <row r="29" spans="2:5" s="25" customFormat="1" ht="22.5" customHeight="1" thickBot="1" x14ac:dyDescent="0.35">
      <c r="B29" s="69" t="s">
        <v>71</v>
      </c>
      <c r="C29" s="73" t="s">
        <v>166</v>
      </c>
      <c r="D29" s="39" t="s">
        <v>11</v>
      </c>
      <c r="E29" s="81" t="s">
        <v>360</v>
      </c>
    </row>
    <row r="30" spans="2:5" s="25" customFormat="1" ht="22.5" customHeight="1" thickBot="1" x14ac:dyDescent="0.35">
      <c r="B30" s="69" t="s">
        <v>72</v>
      </c>
      <c r="C30" s="73" t="s">
        <v>167</v>
      </c>
      <c r="D30" s="39" t="s">
        <v>11</v>
      </c>
      <c r="E30" s="81" t="s">
        <v>361</v>
      </c>
    </row>
    <row r="31" spans="2:5" s="25" customFormat="1" ht="22.5" customHeight="1" thickBot="1" x14ac:dyDescent="0.35">
      <c r="B31" s="69" t="s">
        <v>73</v>
      </c>
      <c r="C31" s="73" t="s">
        <v>168</v>
      </c>
      <c r="D31" s="39" t="s">
        <v>11</v>
      </c>
      <c r="E31" s="81" t="s">
        <v>358</v>
      </c>
    </row>
    <row r="32" spans="2:5" s="25" customFormat="1" ht="61.9" customHeight="1" thickBot="1" x14ac:dyDescent="0.35">
      <c r="B32" s="69" t="s">
        <v>74</v>
      </c>
      <c r="C32" s="73" t="s">
        <v>169</v>
      </c>
      <c r="D32" s="39" t="s">
        <v>11</v>
      </c>
      <c r="E32" s="81" t="s">
        <v>362</v>
      </c>
    </row>
    <row r="33" spans="2:5" s="25" customFormat="1" ht="22.5" customHeight="1" thickBot="1" x14ac:dyDescent="0.35">
      <c r="B33" s="69" t="s">
        <v>75</v>
      </c>
      <c r="C33" s="73" t="s">
        <v>170</v>
      </c>
      <c r="D33" s="39" t="s">
        <v>11</v>
      </c>
      <c r="E33" s="81" t="s">
        <v>363</v>
      </c>
    </row>
    <row r="34" spans="2:5" s="25" customFormat="1" ht="57" customHeight="1" thickBot="1" x14ac:dyDescent="0.35">
      <c r="B34" s="69" t="s">
        <v>76</v>
      </c>
      <c r="C34" s="73" t="s">
        <v>171</v>
      </c>
      <c r="D34" s="39" t="s">
        <v>11</v>
      </c>
      <c r="E34" s="81" t="s">
        <v>364</v>
      </c>
    </row>
    <row r="35" spans="2:5" s="25" customFormat="1" ht="25.9" customHeight="1" thickBot="1" x14ac:dyDescent="0.35">
      <c r="B35" s="69" t="s">
        <v>77</v>
      </c>
      <c r="C35" s="73" t="s">
        <v>172</v>
      </c>
      <c r="D35" s="39" t="s">
        <v>11</v>
      </c>
      <c r="E35" s="81" t="s">
        <v>365</v>
      </c>
    </row>
    <row r="36" spans="2:5" s="25" customFormat="1" ht="52.15" customHeight="1" thickBot="1" x14ac:dyDescent="0.35">
      <c r="B36" s="69" t="s">
        <v>78</v>
      </c>
      <c r="C36" s="73" t="s">
        <v>173</v>
      </c>
      <c r="D36" s="39" t="s">
        <v>11</v>
      </c>
      <c r="E36" s="81" t="s">
        <v>366</v>
      </c>
    </row>
    <row r="37" spans="2:5" s="25" customFormat="1" ht="48" customHeight="1" thickBot="1" x14ac:dyDescent="0.35">
      <c r="B37" s="69" t="s">
        <v>79</v>
      </c>
      <c r="C37" s="73" t="s">
        <v>174</v>
      </c>
      <c r="D37" s="39" t="s">
        <v>11</v>
      </c>
      <c r="E37" s="81" t="s">
        <v>367</v>
      </c>
    </row>
    <row r="38" spans="2:5" s="25" customFormat="1" ht="35.5" customHeight="1" thickBot="1" x14ac:dyDescent="0.35">
      <c r="B38" s="69" t="s">
        <v>80</v>
      </c>
      <c r="C38" s="73" t="s">
        <v>175</v>
      </c>
      <c r="D38" s="39" t="s">
        <v>11</v>
      </c>
      <c r="E38" s="81" t="s">
        <v>368</v>
      </c>
    </row>
    <row r="39" spans="2:5" s="25" customFormat="1" ht="33" customHeight="1" thickBot="1" x14ac:dyDescent="0.35">
      <c r="B39" s="69" t="s">
        <v>81</v>
      </c>
      <c r="C39" s="73" t="s">
        <v>176</v>
      </c>
      <c r="D39" s="39" t="s">
        <v>11</v>
      </c>
      <c r="E39" s="81" t="s">
        <v>368</v>
      </c>
    </row>
    <row r="40" spans="2:5" s="25" customFormat="1" ht="42" customHeight="1" thickBot="1" x14ac:dyDescent="0.35">
      <c r="B40" s="69" t="s">
        <v>82</v>
      </c>
      <c r="C40" s="73" t="s">
        <v>177</v>
      </c>
      <c r="D40" s="39" t="s">
        <v>11</v>
      </c>
      <c r="E40" s="81" t="s">
        <v>369</v>
      </c>
    </row>
    <row r="41" spans="2:5" s="11" customFormat="1" ht="39.65" customHeight="1" x14ac:dyDescent="0.55000000000000004">
      <c r="B41" s="44" t="s">
        <v>33</v>
      </c>
      <c r="C41" s="103" t="s">
        <v>43</v>
      </c>
      <c r="D41" s="104"/>
      <c r="E41" s="105"/>
    </row>
    <row r="42" spans="2:5" s="70" customFormat="1" ht="48.65" customHeight="1" thickBot="1" x14ac:dyDescent="0.35">
      <c r="B42" s="69" t="s">
        <v>83</v>
      </c>
      <c r="C42" s="73" t="s">
        <v>180</v>
      </c>
      <c r="D42" s="39" t="s">
        <v>11</v>
      </c>
      <c r="E42" s="79" t="s">
        <v>332</v>
      </c>
    </row>
    <row r="43" spans="2:5" s="70" customFormat="1" ht="43.15" customHeight="1" thickBot="1" x14ac:dyDescent="0.35">
      <c r="B43" s="69" t="s">
        <v>84</v>
      </c>
      <c r="C43" s="73" t="s">
        <v>181</v>
      </c>
      <c r="D43" s="39" t="s">
        <v>11</v>
      </c>
      <c r="E43" s="79" t="s">
        <v>333</v>
      </c>
    </row>
    <row r="44" spans="2:5" s="70" customFormat="1" ht="39.65" customHeight="1" thickBot="1" x14ac:dyDescent="0.35">
      <c r="B44" s="69" t="s">
        <v>85</v>
      </c>
      <c r="C44" s="73" t="s">
        <v>182</v>
      </c>
      <c r="D44" s="39" t="s">
        <v>11</v>
      </c>
      <c r="E44" s="79" t="s">
        <v>334</v>
      </c>
    </row>
    <row r="45" spans="2:5" s="70" customFormat="1" ht="22.5" customHeight="1" thickBot="1" x14ac:dyDescent="0.35">
      <c r="B45" s="69" t="s">
        <v>86</v>
      </c>
      <c r="C45" s="73" t="s">
        <v>183</v>
      </c>
      <c r="D45" s="39" t="s">
        <v>11</v>
      </c>
      <c r="E45" s="79" t="s">
        <v>335</v>
      </c>
    </row>
    <row r="46" spans="2:5" s="70" customFormat="1" ht="36" customHeight="1" thickBot="1" x14ac:dyDescent="0.35">
      <c r="B46" s="69" t="s">
        <v>87</v>
      </c>
      <c r="C46" s="74" t="s">
        <v>184</v>
      </c>
      <c r="D46" s="39" t="s">
        <v>11</v>
      </c>
      <c r="E46" s="79" t="s">
        <v>336</v>
      </c>
    </row>
    <row r="47" spans="2:5" s="70" customFormat="1" ht="36.65" customHeight="1" thickBot="1" x14ac:dyDescent="0.35">
      <c r="B47" s="69" t="s">
        <v>88</v>
      </c>
      <c r="C47" s="75" t="s">
        <v>185</v>
      </c>
      <c r="D47" s="39" t="s">
        <v>11</v>
      </c>
      <c r="E47" s="79" t="s">
        <v>337</v>
      </c>
    </row>
    <row r="48" spans="2:5" s="70" customFormat="1" ht="22.5" customHeight="1" thickBot="1" x14ac:dyDescent="0.35">
      <c r="B48" s="69" t="s">
        <v>89</v>
      </c>
      <c r="C48" s="73" t="s">
        <v>186</v>
      </c>
      <c r="D48" s="39" t="s">
        <v>11</v>
      </c>
      <c r="E48" s="79" t="s">
        <v>338</v>
      </c>
    </row>
    <row r="49" spans="2:5" s="70" customFormat="1" ht="51.65" customHeight="1" thickBot="1" x14ac:dyDescent="0.35">
      <c r="B49" s="69" t="s">
        <v>90</v>
      </c>
      <c r="C49" s="73" t="s">
        <v>187</v>
      </c>
      <c r="D49" s="39" t="s">
        <v>11</v>
      </c>
      <c r="E49" s="79" t="s">
        <v>339</v>
      </c>
    </row>
    <row r="50" spans="2:5" s="11" customFormat="1" ht="39.65" customHeight="1" x14ac:dyDescent="0.55000000000000004">
      <c r="B50" s="44" t="s">
        <v>34</v>
      </c>
      <c r="C50" s="106" t="s">
        <v>44</v>
      </c>
      <c r="D50" s="107"/>
      <c r="E50" s="108"/>
    </row>
    <row r="51" spans="2:5" s="70" customFormat="1" ht="88.9" customHeight="1" thickBot="1" x14ac:dyDescent="0.35">
      <c r="B51" s="69" t="s">
        <v>104</v>
      </c>
      <c r="C51" s="73" t="s">
        <v>197</v>
      </c>
      <c r="D51" s="39" t="s">
        <v>11</v>
      </c>
      <c r="E51" s="81" t="s">
        <v>320</v>
      </c>
    </row>
    <row r="52" spans="2:5" s="70" customFormat="1" ht="67.900000000000006" customHeight="1" thickBot="1" x14ac:dyDescent="0.35">
      <c r="B52" s="69" t="s">
        <v>103</v>
      </c>
      <c r="C52" s="73" t="s">
        <v>188</v>
      </c>
      <c r="D52" s="39" t="s">
        <v>11</v>
      </c>
      <c r="E52" s="81" t="s">
        <v>321</v>
      </c>
    </row>
    <row r="53" spans="2:5" s="70" customFormat="1" ht="22.5" customHeight="1" thickBot="1" x14ac:dyDescent="0.35">
      <c r="B53" s="69" t="s">
        <v>102</v>
      </c>
      <c r="C53" s="73" t="s">
        <v>189</v>
      </c>
      <c r="D53" s="39" t="s">
        <v>11</v>
      </c>
      <c r="E53" s="81" t="s">
        <v>321</v>
      </c>
    </row>
    <row r="54" spans="2:5" s="70" customFormat="1" ht="37.9" customHeight="1" thickBot="1" x14ac:dyDescent="0.35">
      <c r="B54" s="69" t="s">
        <v>101</v>
      </c>
      <c r="C54" s="73" t="s">
        <v>190</v>
      </c>
      <c r="D54" s="39" t="s">
        <v>11</v>
      </c>
      <c r="E54" s="81" t="s">
        <v>322</v>
      </c>
    </row>
    <row r="55" spans="2:5" s="70" customFormat="1" ht="40.15" customHeight="1" thickBot="1" x14ac:dyDescent="0.35">
      <c r="B55" s="69" t="s">
        <v>100</v>
      </c>
      <c r="C55" s="73" t="s">
        <v>191</v>
      </c>
      <c r="D55" s="39" t="s">
        <v>11</v>
      </c>
      <c r="E55" s="81" t="s">
        <v>323</v>
      </c>
    </row>
    <row r="56" spans="2:5" s="70" customFormat="1" ht="22.5" customHeight="1" thickBot="1" x14ac:dyDescent="0.35">
      <c r="B56" s="69" t="s">
        <v>99</v>
      </c>
      <c r="C56" s="73" t="s">
        <v>192</v>
      </c>
      <c r="D56" s="39" t="s">
        <v>11</v>
      </c>
      <c r="E56" s="81" t="s">
        <v>321</v>
      </c>
    </row>
    <row r="57" spans="2:5" s="70" customFormat="1" ht="22.5" customHeight="1" thickBot="1" x14ac:dyDescent="0.35">
      <c r="B57" s="69" t="s">
        <v>98</v>
      </c>
      <c r="C57" s="73" t="s">
        <v>193</v>
      </c>
      <c r="D57" s="39" t="s">
        <v>11</v>
      </c>
      <c r="E57" s="81" t="s">
        <v>324</v>
      </c>
    </row>
    <row r="58" spans="2:5" s="70" customFormat="1" ht="69" customHeight="1" thickBot="1" x14ac:dyDescent="0.35">
      <c r="B58" s="69" t="s">
        <v>97</v>
      </c>
      <c r="C58" s="73" t="s">
        <v>194</v>
      </c>
      <c r="D58" s="39" t="s">
        <v>11</v>
      </c>
      <c r="E58" s="81" t="s">
        <v>325</v>
      </c>
    </row>
    <row r="59" spans="2:5" s="70" customFormat="1" ht="22.5" customHeight="1" thickBot="1" x14ac:dyDescent="0.35">
      <c r="B59" s="69" t="s">
        <v>96</v>
      </c>
      <c r="C59" s="73" t="s">
        <v>195</v>
      </c>
      <c r="D59" s="39" t="s">
        <v>11</v>
      </c>
      <c r="E59" s="81" t="s">
        <v>326</v>
      </c>
    </row>
    <row r="60" spans="2:5" s="70" customFormat="1" ht="83.5" customHeight="1" thickBot="1" x14ac:dyDescent="0.35">
      <c r="B60" s="69" t="s">
        <v>95</v>
      </c>
      <c r="C60" s="73" t="s">
        <v>196</v>
      </c>
      <c r="D60" s="39" t="s">
        <v>11</v>
      </c>
      <c r="E60" s="81" t="s">
        <v>327</v>
      </c>
    </row>
    <row r="61" spans="2:5" s="70" customFormat="1" ht="40.9" customHeight="1" thickBot="1" x14ac:dyDescent="0.35">
      <c r="B61" s="69" t="s">
        <v>94</v>
      </c>
      <c r="C61" s="73" t="s">
        <v>198</v>
      </c>
      <c r="D61" s="39" t="s">
        <v>11</v>
      </c>
      <c r="E61" s="81" t="s">
        <v>328</v>
      </c>
    </row>
    <row r="62" spans="2:5" s="70" customFormat="1" ht="22.5" customHeight="1" thickBot="1" x14ac:dyDescent="0.35">
      <c r="B62" s="69" t="s">
        <v>93</v>
      </c>
      <c r="C62" s="73" t="s">
        <v>199</v>
      </c>
      <c r="D62" s="39" t="s">
        <v>11</v>
      </c>
      <c r="E62" s="81" t="s">
        <v>329</v>
      </c>
    </row>
    <row r="63" spans="2:5" s="70" customFormat="1" ht="32.5" customHeight="1" thickBot="1" x14ac:dyDescent="0.35">
      <c r="B63" s="69" t="s">
        <v>92</v>
      </c>
      <c r="C63" s="73" t="s">
        <v>200</v>
      </c>
      <c r="D63" s="39" t="s">
        <v>11</v>
      </c>
      <c r="E63" s="81" t="s">
        <v>330</v>
      </c>
    </row>
    <row r="64" spans="2:5" s="70" customFormat="1" ht="34.15" customHeight="1" thickBot="1" x14ac:dyDescent="0.35">
      <c r="B64" s="69" t="s">
        <v>91</v>
      </c>
      <c r="C64" s="73" t="s">
        <v>201</v>
      </c>
      <c r="D64" s="39" t="s">
        <v>11</v>
      </c>
      <c r="E64" s="81" t="s">
        <v>331</v>
      </c>
    </row>
    <row r="65" spans="2:5" s="11" customFormat="1" ht="39.65" customHeight="1" x14ac:dyDescent="0.55000000000000004">
      <c r="B65" s="44" t="s">
        <v>35</v>
      </c>
      <c r="C65" s="103" t="s">
        <v>45</v>
      </c>
      <c r="D65" s="104"/>
      <c r="E65" s="105"/>
    </row>
    <row r="66" spans="2:5" s="70" customFormat="1" ht="82.15" customHeight="1" thickBot="1" x14ac:dyDescent="0.35">
      <c r="B66" s="69" t="s">
        <v>105</v>
      </c>
      <c r="C66" s="73" t="s">
        <v>202</v>
      </c>
      <c r="D66" s="39" t="s">
        <v>11</v>
      </c>
      <c r="E66" s="79" t="s">
        <v>289</v>
      </c>
    </row>
    <row r="67" spans="2:5" s="70" customFormat="1" ht="16" thickBot="1" x14ac:dyDescent="0.35">
      <c r="B67" s="69" t="s">
        <v>106</v>
      </c>
      <c r="C67" s="73" t="s">
        <v>203</v>
      </c>
      <c r="D67" s="39" t="s">
        <v>11</v>
      </c>
      <c r="E67" s="79" t="s">
        <v>290</v>
      </c>
    </row>
    <row r="68" spans="2:5" s="70" customFormat="1" ht="22.5" customHeight="1" thickBot="1" x14ac:dyDescent="0.35">
      <c r="B68" s="69" t="s">
        <v>107</v>
      </c>
      <c r="C68" s="73" t="s">
        <v>204</v>
      </c>
      <c r="D68" s="39" t="s">
        <v>11</v>
      </c>
      <c r="E68" s="79" t="s">
        <v>291</v>
      </c>
    </row>
    <row r="69" spans="2:5" s="70" customFormat="1" ht="22.5" customHeight="1" thickBot="1" x14ac:dyDescent="0.35">
      <c r="B69" s="69" t="s">
        <v>108</v>
      </c>
      <c r="C69" s="73" t="s">
        <v>205</v>
      </c>
      <c r="D69" s="39" t="s">
        <v>11</v>
      </c>
      <c r="E69" s="79" t="s">
        <v>292</v>
      </c>
    </row>
    <row r="70" spans="2:5" s="70" customFormat="1" ht="31.15" customHeight="1" thickBot="1" x14ac:dyDescent="0.35">
      <c r="B70" s="69" t="s">
        <v>109</v>
      </c>
      <c r="C70" s="73" t="s">
        <v>206</v>
      </c>
      <c r="D70" s="39" t="s">
        <v>11</v>
      </c>
      <c r="E70" s="79" t="s">
        <v>293</v>
      </c>
    </row>
    <row r="71" spans="2:5" s="70" customFormat="1" ht="48" customHeight="1" thickBot="1" x14ac:dyDescent="0.35">
      <c r="B71" s="69" t="s">
        <v>110</v>
      </c>
      <c r="C71" s="73" t="s">
        <v>207</v>
      </c>
      <c r="D71" s="39" t="s">
        <v>11</v>
      </c>
      <c r="E71" s="79" t="s">
        <v>294</v>
      </c>
    </row>
    <row r="72" spans="2:5" s="70" customFormat="1" ht="22.5" customHeight="1" thickBot="1" x14ac:dyDescent="0.35">
      <c r="B72" s="69" t="s">
        <v>111</v>
      </c>
      <c r="C72" s="73" t="s">
        <v>208</v>
      </c>
      <c r="D72" s="39" t="s">
        <v>11</v>
      </c>
      <c r="E72" s="79" t="s">
        <v>295</v>
      </c>
    </row>
    <row r="73" spans="2:5" s="70" customFormat="1" ht="22.5" customHeight="1" thickBot="1" x14ac:dyDescent="0.35">
      <c r="B73" s="69" t="s">
        <v>112</v>
      </c>
      <c r="C73" s="73" t="s">
        <v>209</v>
      </c>
      <c r="D73" s="39" t="s">
        <v>11</v>
      </c>
      <c r="E73" s="79" t="s">
        <v>296</v>
      </c>
    </row>
    <row r="74" spans="2:5" s="70" customFormat="1" ht="33" customHeight="1" thickBot="1" x14ac:dyDescent="0.35">
      <c r="B74" s="69" t="s">
        <v>113</v>
      </c>
      <c r="C74" s="73" t="s">
        <v>210</v>
      </c>
      <c r="D74" s="39" t="s">
        <v>11</v>
      </c>
      <c r="E74" s="79" t="s">
        <v>297</v>
      </c>
    </row>
    <row r="75" spans="2:5" s="70" customFormat="1" ht="45.65" customHeight="1" thickBot="1" x14ac:dyDescent="0.35">
      <c r="B75" s="69" t="s">
        <v>114</v>
      </c>
      <c r="C75" s="73" t="s">
        <v>211</v>
      </c>
      <c r="D75" s="39" t="s">
        <v>11</v>
      </c>
      <c r="E75" s="79" t="s">
        <v>298</v>
      </c>
    </row>
    <row r="76" spans="2:5" s="70" customFormat="1" ht="37.15" customHeight="1" thickBot="1" x14ac:dyDescent="0.35">
      <c r="B76" s="69" t="s">
        <v>115</v>
      </c>
      <c r="C76" s="73" t="s">
        <v>212</v>
      </c>
      <c r="D76" s="39" t="s">
        <v>11</v>
      </c>
      <c r="E76" s="79" t="s">
        <v>299</v>
      </c>
    </row>
    <row r="77" spans="2:5" s="70" customFormat="1" ht="32.5" customHeight="1" thickBot="1" x14ac:dyDescent="0.35">
      <c r="B77" s="69" t="s">
        <v>116</v>
      </c>
      <c r="C77" s="73" t="s">
        <v>213</v>
      </c>
      <c r="D77" s="39" t="s">
        <v>11</v>
      </c>
      <c r="E77" s="79" t="s">
        <v>300</v>
      </c>
    </row>
    <row r="78" spans="2:5" s="70" customFormat="1" ht="34.9" customHeight="1" thickBot="1" x14ac:dyDescent="0.35">
      <c r="B78" s="69" t="s">
        <v>117</v>
      </c>
      <c r="C78" s="73" t="s">
        <v>214</v>
      </c>
      <c r="D78" s="39" t="s">
        <v>11</v>
      </c>
      <c r="E78" s="79" t="s">
        <v>301</v>
      </c>
    </row>
    <row r="79" spans="2:5" s="70" customFormat="1" ht="31.15" customHeight="1" thickBot="1" x14ac:dyDescent="0.35">
      <c r="B79" s="69" t="s">
        <v>118</v>
      </c>
      <c r="C79" s="73" t="s">
        <v>215</v>
      </c>
      <c r="D79" s="39" t="s">
        <v>11</v>
      </c>
      <c r="E79" s="79" t="s">
        <v>302</v>
      </c>
    </row>
    <row r="80" spans="2:5" s="70" customFormat="1" ht="25.15" customHeight="1" thickBot="1" x14ac:dyDescent="0.35">
      <c r="B80" s="69" t="s">
        <v>119</v>
      </c>
      <c r="C80" s="73" t="s">
        <v>216</v>
      </c>
      <c r="D80" s="39" t="s">
        <v>11</v>
      </c>
      <c r="E80" s="79" t="s">
        <v>303</v>
      </c>
    </row>
    <row r="81" spans="2:5" s="70" customFormat="1" ht="34.15" customHeight="1" thickBot="1" x14ac:dyDescent="0.35">
      <c r="B81" s="69" t="s">
        <v>120</v>
      </c>
      <c r="C81" s="73" t="s">
        <v>217</v>
      </c>
      <c r="D81" s="39" t="s">
        <v>11</v>
      </c>
      <c r="E81" s="79" t="s">
        <v>304</v>
      </c>
    </row>
    <row r="82" spans="2:5" s="70" customFormat="1" ht="33.65" customHeight="1" thickBot="1" x14ac:dyDescent="0.35">
      <c r="B82" s="69" t="s">
        <v>121</v>
      </c>
      <c r="C82" s="73" t="s">
        <v>218</v>
      </c>
      <c r="D82" s="39" t="s">
        <v>11</v>
      </c>
      <c r="E82" s="79" t="s">
        <v>305</v>
      </c>
    </row>
    <row r="83" spans="2:5" s="70" customFormat="1" ht="22.5" customHeight="1" thickBot="1" x14ac:dyDescent="0.35">
      <c r="B83" s="69" t="s">
        <v>122</v>
      </c>
      <c r="C83" s="73" t="s">
        <v>219</v>
      </c>
      <c r="D83" s="39" t="s">
        <v>11</v>
      </c>
      <c r="E83" s="79" t="s">
        <v>306</v>
      </c>
    </row>
    <row r="84" spans="2:5" s="70" customFormat="1" ht="31.9" customHeight="1" thickBot="1" x14ac:dyDescent="0.35">
      <c r="B84" s="69" t="s">
        <v>123</v>
      </c>
      <c r="C84" s="73" t="s">
        <v>220</v>
      </c>
      <c r="D84" s="39" t="s">
        <v>11</v>
      </c>
      <c r="E84" s="79" t="s">
        <v>297</v>
      </c>
    </row>
    <row r="85" spans="2:5" s="70" customFormat="1" ht="28.15" customHeight="1" thickBot="1" x14ac:dyDescent="0.35">
      <c r="B85" s="69" t="s">
        <v>124</v>
      </c>
      <c r="C85" s="73" t="s">
        <v>221</v>
      </c>
      <c r="D85" s="39" t="s">
        <v>11</v>
      </c>
      <c r="E85" s="79" t="s">
        <v>307</v>
      </c>
    </row>
    <row r="86" spans="2:5" s="70" customFormat="1" ht="22.5" customHeight="1" thickBot="1" x14ac:dyDescent="0.35">
      <c r="B86" s="69" t="s">
        <v>125</v>
      </c>
      <c r="C86" s="73" t="s">
        <v>222</v>
      </c>
      <c r="D86" s="39" t="s">
        <v>11</v>
      </c>
      <c r="E86" s="79" t="s">
        <v>308</v>
      </c>
    </row>
    <row r="87" spans="2:5" s="70" customFormat="1" ht="22.5" customHeight="1" thickBot="1" x14ac:dyDescent="0.35">
      <c r="B87" s="69" t="s">
        <v>126</v>
      </c>
      <c r="C87" s="73" t="s">
        <v>223</v>
      </c>
      <c r="D87" s="39" t="s">
        <v>11</v>
      </c>
      <c r="E87" s="79" t="s">
        <v>307</v>
      </c>
    </row>
    <row r="88" spans="2:5" s="70" customFormat="1" ht="22.5" customHeight="1" thickBot="1" x14ac:dyDescent="0.35">
      <c r="B88" s="69" t="s">
        <v>127</v>
      </c>
      <c r="C88" s="73" t="s">
        <v>224</v>
      </c>
      <c r="D88" s="39" t="s">
        <v>11</v>
      </c>
      <c r="E88" s="79" t="s">
        <v>309</v>
      </c>
    </row>
    <row r="89" spans="2:5" s="70" customFormat="1" ht="22.5" customHeight="1" thickBot="1" x14ac:dyDescent="0.35">
      <c r="B89" s="69" t="s">
        <v>128</v>
      </c>
      <c r="C89" s="73" t="s">
        <v>225</v>
      </c>
      <c r="D89" s="39" t="s">
        <v>11</v>
      </c>
      <c r="E89" s="79" t="s">
        <v>310</v>
      </c>
    </row>
    <row r="90" spans="2:5" s="70" customFormat="1" ht="22.5" customHeight="1" thickBot="1" x14ac:dyDescent="0.35">
      <c r="B90" s="69" t="s">
        <v>129</v>
      </c>
      <c r="C90" s="73" t="s">
        <v>226</v>
      </c>
      <c r="D90" s="39" t="s">
        <v>11</v>
      </c>
      <c r="E90" s="79" t="s">
        <v>311</v>
      </c>
    </row>
    <row r="91" spans="2:5" s="70" customFormat="1" ht="22.5" customHeight="1" thickBot="1" x14ac:dyDescent="0.35">
      <c r="B91" s="69" t="s">
        <v>130</v>
      </c>
      <c r="C91" s="73" t="s">
        <v>227</v>
      </c>
      <c r="D91" s="39" t="s">
        <v>11</v>
      </c>
      <c r="E91" s="79" t="s">
        <v>312</v>
      </c>
    </row>
    <row r="92" spans="2:5" s="70" customFormat="1" ht="22.5" customHeight="1" thickBot="1" x14ac:dyDescent="0.35">
      <c r="B92" s="69" t="s">
        <v>131</v>
      </c>
      <c r="C92" s="73" t="s">
        <v>228</v>
      </c>
      <c r="D92" s="39" t="s">
        <v>11</v>
      </c>
      <c r="E92" s="79" t="s">
        <v>313</v>
      </c>
    </row>
    <row r="93" spans="2:5" s="70" customFormat="1" ht="22.5" customHeight="1" thickBot="1" x14ac:dyDescent="0.35">
      <c r="B93" s="69" t="s">
        <v>132</v>
      </c>
      <c r="C93" s="73" t="s">
        <v>229</v>
      </c>
      <c r="D93" s="39" t="s">
        <v>11</v>
      </c>
      <c r="E93" s="79" t="s">
        <v>229</v>
      </c>
    </row>
    <row r="94" spans="2:5" s="70" customFormat="1" ht="22.5" customHeight="1" thickBot="1" x14ac:dyDescent="0.35">
      <c r="B94" s="69" t="s">
        <v>133</v>
      </c>
      <c r="C94" s="73" t="s">
        <v>230</v>
      </c>
      <c r="D94" s="39" t="s">
        <v>11</v>
      </c>
      <c r="E94" s="79" t="s">
        <v>314</v>
      </c>
    </row>
    <row r="95" spans="2:5" s="70" customFormat="1" ht="22.5" customHeight="1" thickBot="1" x14ac:dyDescent="0.35">
      <c r="B95" s="69" t="s">
        <v>134</v>
      </c>
      <c r="C95" s="73" t="s">
        <v>231</v>
      </c>
      <c r="D95" s="39" t="s">
        <v>11</v>
      </c>
      <c r="E95" s="79" t="s">
        <v>315</v>
      </c>
    </row>
    <row r="96" spans="2:5" s="70" customFormat="1" ht="22.5" customHeight="1" thickBot="1" x14ac:dyDescent="0.35">
      <c r="B96" s="69" t="s">
        <v>135</v>
      </c>
      <c r="C96" s="73" t="s">
        <v>232</v>
      </c>
      <c r="D96" s="39" t="s">
        <v>11</v>
      </c>
      <c r="E96" s="79" t="s">
        <v>316</v>
      </c>
    </row>
    <row r="97" spans="1:5" s="70" customFormat="1" ht="71.5" customHeight="1" thickBot="1" x14ac:dyDescent="0.35">
      <c r="B97" s="69" t="s">
        <v>136</v>
      </c>
      <c r="C97" s="73" t="s">
        <v>233</v>
      </c>
      <c r="D97" s="39" t="s">
        <v>11</v>
      </c>
      <c r="E97" s="79" t="s">
        <v>317</v>
      </c>
    </row>
    <row r="98" spans="1:5" s="70" customFormat="1" ht="22.5" customHeight="1" thickBot="1" x14ac:dyDescent="0.35">
      <c r="B98" s="69" t="s">
        <v>137</v>
      </c>
      <c r="C98" s="73" t="s">
        <v>234</v>
      </c>
      <c r="D98" s="39" t="s">
        <v>11</v>
      </c>
      <c r="E98" s="79" t="s">
        <v>318</v>
      </c>
    </row>
    <row r="99" spans="1:5" s="70" customFormat="1" ht="22.5" customHeight="1" thickBot="1" x14ac:dyDescent="0.35">
      <c r="B99" s="69" t="s">
        <v>138</v>
      </c>
      <c r="C99" s="73" t="s">
        <v>235</v>
      </c>
      <c r="D99" s="39" t="s">
        <v>11</v>
      </c>
      <c r="E99" s="80" t="s">
        <v>319</v>
      </c>
    </row>
    <row r="100" spans="1:5" s="6" customFormat="1" ht="15.5" x14ac:dyDescent="0.35">
      <c r="A100" s="71"/>
      <c r="B100" s="7"/>
      <c r="C100" s="52"/>
      <c r="D100" s="31">
        <f>COUNTA(D3:D99)</f>
        <v>93</v>
      </c>
      <c r="E100" s="72" t="s">
        <v>41</v>
      </c>
    </row>
    <row r="101" spans="1:5" s="6" customFormat="1" ht="15.5" x14ac:dyDescent="0.25">
      <c r="A101" s="3"/>
      <c r="B101" s="3"/>
      <c r="C101" s="53"/>
      <c r="D101" s="7"/>
      <c r="E101" s="3"/>
    </row>
    <row r="102" spans="1:5" s="6" customFormat="1" ht="15.5" x14ac:dyDescent="0.25">
      <c r="A102" s="3"/>
      <c r="B102" s="3"/>
      <c r="C102" s="53"/>
      <c r="D102" s="7"/>
      <c r="E102" s="3"/>
    </row>
    <row r="103" spans="1:5" s="6" customFormat="1" ht="15.5" x14ac:dyDescent="0.25">
      <c r="A103" s="3"/>
      <c r="B103" s="3"/>
      <c r="C103" s="53"/>
      <c r="D103" s="7"/>
      <c r="E103" s="3"/>
    </row>
    <row r="104" spans="1:5" s="6" customFormat="1" ht="15.5" x14ac:dyDescent="0.25">
      <c r="A104" s="3"/>
      <c r="B104" s="3"/>
      <c r="C104" s="53"/>
      <c r="D104" s="7"/>
      <c r="E104" s="3"/>
    </row>
    <row r="105" spans="1:5" s="6" customFormat="1" ht="15.5" x14ac:dyDescent="0.25">
      <c r="A105" s="3"/>
      <c r="B105" s="3"/>
      <c r="C105" s="53"/>
      <c r="D105" s="7"/>
      <c r="E105" s="3"/>
    </row>
    <row r="106" spans="1:5" s="6" customFormat="1" ht="15.5" x14ac:dyDescent="0.25">
      <c r="A106" s="3"/>
      <c r="B106" s="3"/>
      <c r="C106" s="53"/>
      <c r="D106" s="7"/>
      <c r="E106" s="3"/>
    </row>
    <row r="107" spans="1:5" s="6" customFormat="1" ht="15.5" x14ac:dyDescent="0.25">
      <c r="A107" s="3"/>
      <c r="B107" s="3"/>
      <c r="C107" s="53"/>
      <c r="D107" s="7"/>
      <c r="E107" s="3"/>
    </row>
    <row r="108" spans="1:5" s="6" customFormat="1" ht="15.5" x14ac:dyDescent="0.25">
      <c r="A108" s="3"/>
      <c r="B108" s="3"/>
      <c r="C108" s="53"/>
      <c r="D108" s="7"/>
      <c r="E108" s="3"/>
    </row>
    <row r="109" spans="1:5" s="6" customFormat="1" ht="15.5" x14ac:dyDescent="0.25">
      <c r="A109" s="3"/>
      <c r="B109" s="3"/>
      <c r="C109" s="53"/>
      <c r="D109" s="7"/>
      <c r="E109" s="3"/>
    </row>
    <row r="110" spans="1:5" s="6" customFormat="1" ht="15.5" x14ac:dyDescent="0.25">
      <c r="A110" s="3"/>
      <c r="B110" s="3"/>
      <c r="C110" s="53"/>
      <c r="D110" s="7"/>
      <c r="E110" s="3"/>
    </row>
  </sheetData>
  <sheetProtection selectLockedCells="1" selectUnlockedCells="1"/>
  <mergeCells count="5">
    <mergeCell ref="B1:E1"/>
    <mergeCell ref="C3:E3"/>
    <mergeCell ref="C41:E41"/>
    <mergeCell ref="C50:E50"/>
    <mergeCell ref="C65:E65"/>
  </mergeCells>
  <conditionalFormatting sqref="D4:D31">
    <cfRule type="containsText" dxfId="131" priority="158" operator="containsText" text="Initial">
      <formula>NOT(ISERROR(SEARCH("Initial",D4)))</formula>
    </cfRule>
    <cfRule type="containsText" dxfId="130" priority="159" operator="containsText" text="Nonexistent">
      <formula>NOT(ISERROR(SEARCH("Nonexistent",D4)))</formula>
    </cfRule>
    <cfRule type="expression" dxfId="129" priority="160" stopIfTrue="1">
      <formula>_xludf.STYLE(VLOOKUP(D4,#REF!,2,0))</formula>
    </cfRule>
  </conditionalFormatting>
  <conditionalFormatting sqref="D42:D46 D49">
    <cfRule type="containsText" dxfId="128" priority="543" operator="containsText" text="Initial">
      <formula>NOT(ISERROR(SEARCH("Initial",D42)))</formula>
    </cfRule>
    <cfRule type="containsText" dxfId="127" priority="544" operator="containsText" text="Nonexistent">
      <formula>NOT(ISERROR(SEARCH("Nonexistent",D42)))</formula>
    </cfRule>
    <cfRule type="expression" dxfId="126" priority="545" stopIfTrue="1">
      <formula>_xludf.STYLE(VLOOKUP(D42,#REF!,2,0))</formula>
    </cfRule>
  </conditionalFormatting>
  <conditionalFormatting sqref="D51:D60">
    <cfRule type="containsText" dxfId="125" priority="114" operator="containsText" text="Initial">
      <formula>NOT(ISERROR(SEARCH("Initial",D51)))</formula>
    </cfRule>
    <cfRule type="containsText" dxfId="124" priority="115" operator="containsText" text="Nonexistent">
      <formula>NOT(ISERROR(SEARCH("Nonexistent",D51)))</formula>
    </cfRule>
    <cfRule type="expression" dxfId="123" priority="116" stopIfTrue="1">
      <formula>_xludf.STYLE(VLOOKUP(D51,#REF!,2,0))</formula>
    </cfRule>
  </conditionalFormatting>
  <conditionalFormatting sqref="D66">
    <cfRule type="containsText" dxfId="122" priority="86" operator="containsText" text="Initial">
      <formula>NOT(ISERROR(SEARCH("Initial",D66)))</formula>
    </cfRule>
    <cfRule type="containsText" dxfId="121" priority="87" operator="containsText" text="Nonexistent">
      <formula>NOT(ISERROR(SEARCH("Nonexistent",D66)))</formula>
    </cfRule>
    <cfRule type="expression" dxfId="120" priority="88" stopIfTrue="1">
      <formula>_xludf.STYLE(VLOOKUP(D66,#REF!,2,0))</formula>
    </cfRule>
  </conditionalFormatting>
  <conditionalFormatting sqref="D67:D69">
    <cfRule type="containsText" dxfId="119" priority="75" operator="containsText" text="Initial">
      <formula>NOT(ISERROR(SEARCH("Initial",D67)))</formula>
    </cfRule>
    <cfRule type="containsText" dxfId="118" priority="76" operator="containsText" text="Nonexistent">
      <formula>NOT(ISERROR(SEARCH("Nonexistent",D67)))</formula>
    </cfRule>
    <cfRule type="expression" dxfId="117" priority="77" stopIfTrue="1">
      <formula>_xludf.STYLE(VLOOKUP(D67,#REF!,2,0))</formula>
    </cfRule>
  </conditionalFormatting>
  <conditionalFormatting sqref="D70:D78">
    <cfRule type="containsText" dxfId="116" priority="64" operator="containsText" text="Initial">
      <formula>NOT(ISERROR(SEARCH("Initial",D70)))</formula>
    </cfRule>
    <cfRule type="containsText" dxfId="115" priority="65" operator="containsText" text="Nonexistent">
      <formula>NOT(ISERROR(SEARCH("Nonexistent",D70)))</formula>
    </cfRule>
    <cfRule type="expression" dxfId="114" priority="66" stopIfTrue="1">
      <formula>_xludf.STYLE(VLOOKUP(D70,#REF!,2,0))</formula>
    </cfRule>
  </conditionalFormatting>
  <conditionalFormatting sqref="D79:D91">
    <cfRule type="containsText" dxfId="113" priority="53" operator="containsText" text="Initial">
      <formula>NOT(ISERROR(SEARCH("Initial",D79)))</formula>
    </cfRule>
    <cfRule type="containsText" dxfId="112" priority="54" operator="containsText" text="Nonexistent">
      <formula>NOT(ISERROR(SEARCH("Nonexistent",D79)))</formula>
    </cfRule>
    <cfRule type="expression" dxfId="111" priority="55" stopIfTrue="1">
      <formula>_xludf.STYLE(VLOOKUP(D79,#REF!,2,0))</formula>
    </cfRule>
  </conditionalFormatting>
  <conditionalFormatting sqref="D92:D99">
    <cfRule type="containsText" dxfId="110" priority="42" operator="containsText" text="Initial">
      <formula>NOT(ISERROR(SEARCH("Initial",D92)))</formula>
    </cfRule>
    <cfRule type="containsText" dxfId="109" priority="43" operator="containsText" text="Nonexistent">
      <formula>NOT(ISERROR(SEARCH("Nonexistent",D92)))</formula>
    </cfRule>
    <cfRule type="expression" dxfId="108" priority="44" stopIfTrue="1">
      <formula>_xludf.STYLE(VLOOKUP(D92,#REF!,2,0))</formula>
    </cfRule>
  </conditionalFormatting>
  <conditionalFormatting sqref="D61:D64">
    <cfRule type="containsText" dxfId="107" priority="31" operator="containsText" text="Initial">
      <formula>NOT(ISERROR(SEARCH("Initial",D61)))</formula>
    </cfRule>
    <cfRule type="containsText" dxfId="106" priority="32" operator="containsText" text="Nonexistent">
      <formula>NOT(ISERROR(SEARCH("Nonexistent",D61)))</formula>
    </cfRule>
    <cfRule type="expression" dxfId="105" priority="33" stopIfTrue="1">
      <formula>_xludf.STYLE(VLOOKUP(D61,#REF!,2,0))</formula>
    </cfRule>
  </conditionalFormatting>
  <conditionalFormatting sqref="D47:D48">
    <cfRule type="containsText" dxfId="104" priority="20" operator="containsText" text="Initial">
      <formula>NOT(ISERROR(SEARCH("Initial",D47)))</formula>
    </cfRule>
    <cfRule type="containsText" dxfId="103" priority="21" operator="containsText" text="Nonexistent">
      <formula>NOT(ISERROR(SEARCH("Nonexistent",D47)))</formula>
    </cfRule>
    <cfRule type="expression" dxfId="102" priority="22" stopIfTrue="1">
      <formula>_xludf.STYLE(VLOOKUP(D47,#REF!,2,0))</formula>
    </cfRule>
  </conditionalFormatting>
  <conditionalFormatting sqref="D32:D40">
    <cfRule type="containsText" dxfId="101" priority="9" operator="containsText" text="Initial">
      <formula>NOT(ISERROR(SEARCH("Initial",D32)))</formula>
    </cfRule>
    <cfRule type="containsText" dxfId="100" priority="10" operator="containsText" text="Nonexistent">
      <formula>NOT(ISERROR(SEARCH("Nonexistent",D32)))</formula>
    </cfRule>
    <cfRule type="expression" dxfId="99" priority="11" stopIfTrue="1">
      <formula>_xludf.STYLE(VLOOKUP(D32,#REF!,2,0))</formula>
    </cfRule>
  </conditionalFormatting>
  <printOptions gridLines="1"/>
  <pageMargins left="0.39374999999999999" right="0.2951388888888889" top="0.2951388888888889" bottom="0.31597222222222221" header="0.51180555555555551" footer="0.17708333333333334"/>
  <pageSetup paperSize="9" scale="60" firstPageNumber="0" fitToHeight="15" orientation="portrait" verticalDpi="300" r:id="rId1"/>
  <headerFooter alignWithMargins="0">
    <oddFooter>&amp;C&amp;D&amp;RPage &amp;P of &amp;N</oddFooter>
  </headerFooter>
  <legacyDrawing r:id="rId2"/>
  <extLst>
    <ext xmlns:x14="http://schemas.microsoft.com/office/spreadsheetml/2009/9/main" uri="{78C0D931-6437-407d-A8EE-F0AAD7539E65}">
      <x14:conditionalFormattings>
        <x14:conditionalFormatting xmlns:xm="http://schemas.microsoft.com/office/excel/2006/main">
          <x14:cfRule type="cellIs" priority="150" operator="equal" id="{5C8C0E60-0BBA-4CF6-8CC9-5714E66C9562}">
            <xm:f>Metrics!$B$10</xm:f>
            <x14:dxf>
              <font>
                <color theme="0"/>
              </font>
              <fill>
                <patternFill>
                  <bgColor theme="0" tint="-0.34998626667073579"/>
                </patternFill>
              </fill>
            </x14:dxf>
          </x14:cfRule>
          <x14:cfRule type="cellIs" priority="151" operator="equal" id="{6CE8C59C-691F-424E-8125-8DC92EEE0178}">
            <xm:f>Metrics!$B$9</xm:f>
            <x14:dxf>
              <font>
                <color theme="0"/>
              </font>
              <fill>
                <patternFill>
                  <bgColor rgb="FF336600"/>
                </patternFill>
              </fill>
            </x14:dxf>
          </x14:cfRule>
          <x14:cfRule type="cellIs" priority="152" operator="equal" id="{378A8159-370A-4804-B1B8-43DA2C75345A}">
            <xm:f>Metrics!$B$8</xm:f>
            <x14:dxf>
              <font>
                <color theme="0"/>
              </font>
              <fill>
                <patternFill>
                  <bgColor rgb="FF92D050"/>
                </patternFill>
              </fill>
            </x14:dxf>
          </x14:cfRule>
          <x14:cfRule type="cellIs" priority="153" operator="equal" id="{74C793C2-D7E0-4DE5-9501-83AD73961BBC}">
            <xm:f>Metrics!$B$7</xm:f>
            <x14:dxf>
              <font>
                <color theme="0"/>
              </font>
              <fill>
                <patternFill>
                  <bgColor rgb="FFFFC000"/>
                </patternFill>
              </fill>
            </x14:dxf>
          </x14:cfRule>
          <x14:cfRule type="cellIs" priority="154" operator="equal" id="{BB89F925-56CA-4B85-B04D-347320EDC2FF}">
            <xm:f>Metrics!$B$6</xm:f>
            <x14:dxf>
              <font>
                <color theme="0"/>
              </font>
              <fill>
                <patternFill>
                  <bgColor theme="2" tint="-0.499984740745262"/>
                </patternFill>
              </fill>
            </x14:dxf>
          </x14:cfRule>
          <x14:cfRule type="cellIs" priority="155" operator="equal" id="{7AA66986-CC6B-4C06-AB5E-D81FC1E3C37E}">
            <xm:f>Metrics!$B$5</xm:f>
            <x14:dxf>
              <font>
                <color theme="0"/>
              </font>
              <fill>
                <patternFill>
                  <bgColor rgb="FFC00000"/>
                </patternFill>
              </fill>
            </x14:dxf>
          </x14:cfRule>
          <x14:cfRule type="cellIs" priority="156" operator="equal" id="{AD33BC19-E179-42CB-818D-05C23500FE78}">
            <xm:f>Metrics!$B$4</xm:f>
            <x14:dxf>
              <font>
                <color theme="0"/>
              </font>
              <fill>
                <patternFill>
                  <bgColor rgb="FFFF0000"/>
                </patternFill>
              </fill>
            </x14:dxf>
          </x14:cfRule>
          <x14:cfRule type="cellIs" priority="157" operator="equal" id="{F3D66798-A9FA-464D-B467-C05D4068B769}">
            <xm:f>Metrics!$B$3</xm:f>
            <x14:dxf>
              <font>
                <color theme="0" tint="-0.14996795556505021"/>
              </font>
              <fill>
                <patternFill>
                  <bgColor theme="0"/>
                </patternFill>
              </fill>
            </x14:dxf>
          </x14:cfRule>
          <xm:sqref>D4:D31</xm:sqref>
        </x14:conditionalFormatting>
        <x14:conditionalFormatting xmlns:xm="http://schemas.microsoft.com/office/excel/2006/main">
          <x14:cfRule type="cellIs" priority="535" operator="equal" id="{969BB7CC-0FEA-4B1F-9412-D7D02C35A2D4}">
            <xm:f>Metrics!$B$10</xm:f>
            <x14:dxf>
              <font>
                <color theme="0"/>
              </font>
              <fill>
                <patternFill>
                  <bgColor theme="0" tint="-0.34998626667073579"/>
                </patternFill>
              </fill>
            </x14:dxf>
          </x14:cfRule>
          <x14:cfRule type="cellIs" priority="536" operator="equal" id="{E0BF83DC-C87E-4FCC-8F0D-CB4D24D88751}">
            <xm:f>Metrics!$B$9</xm:f>
            <x14:dxf>
              <font>
                <color theme="0"/>
              </font>
              <fill>
                <patternFill>
                  <bgColor rgb="FF336600"/>
                </patternFill>
              </fill>
            </x14:dxf>
          </x14:cfRule>
          <x14:cfRule type="cellIs" priority="537" operator="equal" id="{8276ECB5-5B3C-4F55-B296-CAD7A7092104}">
            <xm:f>Metrics!$B$8</xm:f>
            <x14:dxf>
              <font>
                <color theme="0"/>
              </font>
              <fill>
                <patternFill>
                  <bgColor rgb="FF92D050"/>
                </patternFill>
              </fill>
            </x14:dxf>
          </x14:cfRule>
          <x14:cfRule type="cellIs" priority="538" operator="equal" id="{44F448F7-BAB2-4B8A-8A1F-E965C673D9CD}">
            <xm:f>Metrics!$B$7</xm:f>
            <x14:dxf>
              <font>
                <color theme="0"/>
              </font>
              <fill>
                <patternFill>
                  <bgColor rgb="FFFFC000"/>
                </patternFill>
              </fill>
            </x14:dxf>
          </x14:cfRule>
          <x14:cfRule type="cellIs" priority="539" operator="equal" id="{1912C8D5-7D84-4141-BA8C-6BD00412A9E3}">
            <xm:f>Metrics!$B$6</xm:f>
            <x14:dxf>
              <font>
                <color theme="0"/>
              </font>
              <fill>
                <patternFill>
                  <bgColor theme="2" tint="-0.499984740745262"/>
                </patternFill>
              </fill>
            </x14:dxf>
          </x14:cfRule>
          <x14:cfRule type="cellIs" priority="540" operator="equal" id="{D82478DB-48A8-4D1F-AB9B-D0155F96EF54}">
            <xm:f>Metrics!$B$5</xm:f>
            <x14:dxf>
              <font>
                <color theme="0"/>
              </font>
              <fill>
                <patternFill>
                  <bgColor rgb="FFC00000"/>
                </patternFill>
              </fill>
            </x14:dxf>
          </x14:cfRule>
          <x14:cfRule type="cellIs" priority="541" operator="equal" id="{F751AC8B-71F1-4457-A347-3A607BF27FD7}">
            <xm:f>Metrics!$B$4</xm:f>
            <x14:dxf>
              <font>
                <color theme="0"/>
              </font>
              <fill>
                <patternFill>
                  <bgColor rgb="FFFF0000"/>
                </patternFill>
              </fill>
            </x14:dxf>
          </x14:cfRule>
          <x14:cfRule type="cellIs" priority="542" operator="equal" id="{E60F339E-4BA5-4D2B-AFCE-DEF714D47118}">
            <xm:f>Metrics!$B$3</xm:f>
            <x14:dxf>
              <font>
                <color theme="0" tint="-0.14996795556505021"/>
              </font>
              <fill>
                <patternFill>
                  <bgColor theme="0"/>
                </patternFill>
              </fill>
            </x14:dxf>
          </x14:cfRule>
          <xm:sqref>D42:D46 D49</xm:sqref>
        </x14:conditionalFormatting>
        <x14:conditionalFormatting xmlns:xm="http://schemas.microsoft.com/office/excel/2006/main">
          <x14:cfRule type="cellIs" priority="106" operator="equal" id="{FC972F4C-5C1C-4424-8089-4C9D66B7DAB5}">
            <xm:f>Metrics!$B$10</xm:f>
            <x14:dxf>
              <font>
                <color theme="0"/>
              </font>
              <fill>
                <patternFill>
                  <bgColor theme="0" tint="-0.34998626667073579"/>
                </patternFill>
              </fill>
            </x14:dxf>
          </x14:cfRule>
          <x14:cfRule type="cellIs" priority="107" operator="equal" id="{92C4CB77-005A-4BEB-80D8-95EA9D57E5B6}">
            <xm:f>Metrics!$B$9</xm:f>
            <x14:dxf>
              <font>
                <color theme="0"/>
              </font>
              <fill>
                <patternFill>
                  <bgColor rgb="FF336600"/>
                </patternFill>
              </fill>
            </x14:dxf>
          </x14:cfRule>
          <x14:cfRule type="cellIs" priority="108" operator="equal" id="{7FAB3381-02CC-4083-9DAE-F0A04C2483A1}">
            <xm:f>Metrics!$B$8</xm:f>
            <x14:dxf>
              <font>
                <color theme="0"/>
              </font>
              <fill>
                <patternFill>
                  <bgColor rgb="FF92D050"/>
                </patternFill>
              </fill>
            </x14:dxf>
          </x14:cfRule>
          <x14:cfRule type="cellIs" priority="109" operator="equal" id="{FAA9A170-F72C-4095-A043-13A45F135EA6}">
            <xm:f>Metrics!$B$7</xm:f>
            <x14:dxf>
              <font>
                <color theme="0"/>
              </font>
              <fill>
                <patternFill>
                  <bgColor rgb="FFFFC000"/>
                </patternFill>
              </fill>
            </x14:dxf>
          </x14:cfRule>
          <x14:cfRule type="cellIs" priority="110" operator="equal" id="{3A579229-583C-42B4-9946-AE4BDF561892}">
            <xm:f>Metrics!$B$6</xm:f>
            <x14:dxf>
              <font>
                <color theme="0"/>
              </font>
              <fill>
                <patternFill>
                  <bgColor theme="2" tint="-0.499984740745262"/>
                </patternFill>
              </fill>
            </x14:dxf>
          </x14:cfRule>
          <x14:cfRule type="cellIs" priority="111" operator="equal" id="{69289845-10EB-41A3-BEB6-01C05440ED6A}">
            <xm:f>Metrics!$B$5</xm:f>
            <x14:dxf>
              <font>
                <color theme="0"/>
              </font>
              <fill>
                <patternFill>
                  <bgColor rgb="FFC00000"/>
                </patternFill>
              </fill>
            </x14:dxf>
          </x14:cfRule>
          <x14:cfRule type="cellIs" priority="112" operator="equal" id="{1AD1DC9E-8A64-404A-8E02-0DCCD02391F1}">
            <xm:f>Metrics!$B$4</xm:f>
            <x14:dxf>
              <font>
                <color theme="0"/>
              </font>
              <fill>
                <patternFill>
                  <bgColor rgb="FFFF0000"/>
                </patternFill>
              </fill>
            </x14:dxf>
          </x14:cfRule>
          <x14:cfRule type="cellIs" priority="113" operator="equal" id="{4E12EBA3-79B8-4A75-B3CA-039E0E614038}">
            <xm:f>Metrics!$B$3</xm:f>
            <x14:dxf>
              <font>
                <color theme="0" tint="-0.14996795556505021"/>
              </font>
              <fill>
                <patternFill>
                  <bgColor theme="0"/>
                </patternFill>
              </fill>
            </x14:dxf>
          </x14:cfRule>
          <xm:sqref>D51:D60</xm:sqref>
        </x14:conditionalFormatting>
        <x14:conditionalFormatting xmlns:xm="http://schemas.microsoft.com/office/excel/2006/main">
          <x14:cfRule type="cellIs" priority="78" operator="equal" id="{651CEB34-8FC2-4AFD-AF7F-EF55CB19EC73}">
            <xm:f>Metrics!$B$10</xm:f>
            <x14:dxf>
              <font>
                <color theme="0"/>
              </font>
              <fill>
                <patternFill>
                  <bgColor theme="0" tint="-0.34998626667073579"/>
                </patternFill>
              </fill>
            </x14:dxf>
          </x14:cfRule>
          <x14:cfRule type="cellIs" priority="79" operator="equal" id="{3EE677C6-EE85-4F79-840A-E3B688BEDEF5}">
            <xm:f>Metrics!$B$9</xm:f>
            <x14:dxf>
              <font>
                <color theme="0"/>
              </font>
              <fill>
                <patternFill>
                  <bgColor rgb="FF336600"/>
                </patternFill>
              </fill>
            </x14:dxf>
          </x14:cfRule>
          <x14:cfRule type="cellIs" priority="80" operator="equal" id="{AA6116A8-47E9-4223-931B-72B472903458}">
            <xm:f>Metrics!$B$8</xm:f>
            <x14:dxf>
              <font>
                <color theme="0"/>
              </font>
              <fill>
                <patternFill>
                  <bgColor rgb="FF92D050"/>
                </patternFill>
              </fill>
            </x14:dxf>
          </x14:cfRule>
          <x14:cfRule type="cellIs" priority="81" operator="equal" id="{5A517384-732A-4515-9252-DC8EBF42C36A}">
            <xm:f>Metrics!$B$7</xm:f>
            <x14:dxf>
              <font>
                <color theme="0"/>
              </font>
              <fill>
                <patternFill>
                  <bgColor rgb="FFFFC000"/>
                </patternFill>
              </fill>
            </x14:dxf>
          </x14:cfRule>
          <x14:cfRule type="cellIs" priority="82" operator="equal" id="{F0AE37E4-E972-4C25-B777-9BD663E58BA6}">
            <xm:f>Metrics!$B$6</xm:f>
            <x14:dxf>
              <font>
                <color theme="0"/>
              </font>
              <fill>
                <patternFill>
                  <bgColor theme="2" tint="-0.499984740745262"/>
                </patternFill>
              </fill>
            </x14:dxf>
          </x14:cfRule>
          <x14:cfRule type="cellIs" priority="83" operator="equal" id="{4C2F7784-6693-430C-B250-7B7A6A906BC2}">
            <xm:f>Metrics!$B$5</xm:f>
            <x14:dxf>
              <font>
                <color theme="0"/>
              </font>
              <fill>
                <patternFill>
                  <bgColor rgb="FFC00000"/>
                </patternFill>
              </fill>
            </x14:dxf>
          </x14:cfRule>
          <x14:cfRule type="cellIs" priority="84" operator="equal" id="{57E46E93-F6F4-41CB-9BBC-85C234BE463F}">
            <xm:f>Metrics!$B$4</xm:f>
            <x14:dxf>
              <font>
                <color theme="0"/>
              </font>
              <fill>
                <patternFill>
                  <bgColor rgb="FFFF0000"/>
                </patternFill>
              </fill>
            </x14:dxf>
          </x14:cfRule>
          <x14:cfRule type="cellIs" priority="85" operator="equal" id="{4695155A-5C36-411C-8218-CE30D1E3EFCE}">
            <xm:f>Metrics!$B$3</xm:f>
            <x14:dxf>
              <font>
                <color theme="0" tint="-0.14996795556505021"/>
              </font>
              <fill>
                <patternFill>
                  <bgColor theme="0"/>
                </patternFill>
              </fill>
            </x14:dxf>
          </x14:cfRule>
          <xm:sqref>D66</xm:sqref>
        </x14:conditionalFormatting>
        <x14:conditionalFormatting xmlns:xm="http://schemas.microsoft.com/office/excel/2006/main">
          <x14:cfRule type="cellIs" priority="67" operator="equal" id="{8CECE34C-337B-4994-B890-DCD41BCE85D6}">
            <xm:f>Metrics!$B$10</xm:f>
            <x14:dxf>
              <font>
                <color theme="0"/>
              </font>
              <fill>
                <patternFill>
                  <bgColor theme="0" tint="-0.34998626667073579"/>
                </patternFill>
              </fill>
            </x14:dxf>
          </x14:cfRule>
          <x14:cfRule type="cellIs" priority="68" operator="equal" id="{867E00CA-9080-4C5C-B6F8-D1B4F804C5F8}">
            <xm:f>Metrics!$B$9</xm:f>
            <x14:dxf>
              <font>
                <color theme="0"/>
              </font>
              <fill>
                <patternFill>
                  <bgColor rgb="FF336600"/>
                </patternFill>
              </fill>
            </x14:dxf>
          </x14:cfRule>
          <x14:cfRule type="cellIs" priority="69" operator="equal" id="{3ABD853A-3615-45FA-AC7B-C6054A5A6356}">
            <xm:f>Metrics!$B$8</xm:f>
            <x14:dxf>
              <font>
                <color theme="0"/>
              </font>
              <fill>
                <patternFill>
                  <bgColor rgb="FF92D050"/>
                </patternFill>
              </fill>
            </x14:dxf>
          </x14:cfRule>
          <x14:cfRule type="cellIs" priority="70" operator="equal" id="{6EB54F0A-E3E6-4933-B097-E5D1593B88B0}">
            <xm:f>Metrics!$B$7</xm:f>
            <x14:dxf>
              <font>
                <color theme="0"/>
              </font>
              <fill>
                <patternFill>
                  <bgColor rgb="FFFFC000"/>
                </patternFill>
              </fill>
            </x14:dxf>
          </x14:cfRule>
          <x14:cfRule type="cellIs" priority="71" operator="equal" id="{F51FFD09-5C88-40B5-9DD7-9460F97B9DC6}">
            <xm:f>Metrics!$B$6</xm:f>
            <x14:dxf>
              <font>
                <color theme="0"/>
              </font>
              <fill>
                <patternFill>
                  <bgColor theme="2" tint="-0.499984740745262"/>
                </patternFill>
              </fill>
            </x14:dxf>
          </x14:cfRule>
          <x14:cfRule type="cellIs" priority="72" operator="equal" id="{48584356-5836-40D5-8513-8C6EFEE89D75}">
            <xm:f>Metrics!$B$5</xm:f>
            <x14:dxf>
              <font>
                <color theme="0"/>
              </font>
              <fill>
                <patternFill>
                  <bgColor rgb="FFC00000"/>
                </patternFill>
              </fill>
            </x14:dxf>
          </x14:cfRule>
          <x14:cfRule type="cellIs" priority="73" operator="equal" id="{C4DAA3B5-5028-4B90-9E72-74972C051E7D}">
            <xm:f>Metrics!$B$4</xm:f>
            <x14:dxf>
              <font>
                <color theme="0"/>
              </font>
              <fill>
                <patternFill>
                  <bgColor rgb="FFFF0000"/>
                </patternFill>
              </fill>
            </x14:dxf>
          </x14:cfRule>
          <x14:cfRule type="cellIs" priority="74" operator="equal" id="{430EB89A-456B-4B13-BB1B-48552BE1D91D}">
            <xm:f>Metrics!$B$3</xm:f>
            <x14:dxf>
              <font>
                <color theme="0" tint="-0.14996795556505021"/>
              </font>
              <fill>
                <patternFill>
                  <bgColor theme="0"/>
                </patternFill>
              </fill>
            </x14:dxf>
          </x14:cfRule>
          <xm:sqref>D67:D69</xm:sqref>
        </x14:conditionalFormatting>
        <x14:conditionalFormatting xmlns:xm="http://schemas.microsoft.com/office/excel/2006/main">
          <x14:cfRule type="cellIs" priority="56" operator="equal" id="{D065A59A-ED07-4946-BB26-43D596ACA72D}">
            <xm:f>Metrics!$B$10</xm:f>
            <x14:dxf>
              <font>
                <color theme="0"/>
              </font>
              <fill>
                <patternFill>
                  <bgColor theme="0" tint="-0.34998626667073579"/>
                </patternFill>
              </fill>
            </x14:dxf>
          </x14:cfRule>
          <x14:cfRule type="cellIs" priority="57" operator="equal" id="{BFCA94A0-1219-4636-B31A-B5BC5674AE55}">
            <xm:f>Metrics!$B$9</xm:f>
            <x14:dxf>
              <font>
                <color theme="0"/>
              </font>
              <fill>
                <patternFill>
                  <bgColor rgb="FF336600"/>
                </patternFill>
              </fill>
            </x14:dxf>
          </x14:cfRule>
          <x14:cfRule type="cellIs" priority="58" operator="equal" id="{B04BDEF9-E5CD-4F30-928A-D20C7D462489}">
            <xm:f>Metrics!$B$8</xm:f>
            <x14:dxf>
              <font>
                <color theme="0"/>
              </font>
              <fill>
                <patternFill>
                  <bgColor rgb="FF92D050"/>
                </patternFill>
              </fill>
            </x14:dxf>
          </x14:cfRule>
          <x14:cfRule type="cellIs" priority="59" operator="equal" id="{37E6A202-1349-484C-8737-BDC854F1E081}">
            <xm:f>Metrics!$B$7</xm:f>
            <x14:dxf>
              <font>
                <color theme="0"/>
              </font>
              <fill>
                <patternFill>
                  <bgColor rgb="FFFFC000"/>
                </patternFill>
              </fill>
            </x14:dxf>
          </x14:cfRule>
          <x14:cfRule type="cellIs" priority="60" operator="equal" id="{C4C9AE7A-AABD-4A1A-A9CF-0D4660490BFD}">
            <xm:f>Metrics!$B$6</xm:f>
            <x14:dxf>
              <font>
                <color theme="0"/>
              </font>
              <fill>
                <patternFill>
                  <bgColor theme="2" tint="-0.499984740745262"/>
                </patternFill>
              </fill>
            </x14:dxf>
          </x14:cfRule>
          <x14:cfRule type="cellIs" priority="61" operator="equal" id="{57458193-4A2C-4AE5-AF35-37B345A94905}">
            <xm:f>Metrics!$B$5</xm:f>
            <x14:dxf>
              <font>
                <color theme="0"/>
              </font>
              <fill>
                <patternFill>
                  <bgColor rgb="FFC00000"/>
                </patternFill>
              </fill>
            </x14:dxf>
          </x14:cfRule>
          <x14:cfRule type="cellIs" priority="62" operator="equal" id="{8C2CB94D-9032-40E3-B358-9E80FBBF461C}">
            <xm:f>Metrics!$B$4</xm:f>
            <x14:dxf>
              <font>
                <color theme="0"/>
              </font>
              <fill>
                <patternFill>
                  <bgColor rgb="FFFF0000"/>
                </patternFill>
              </fill>
            </x14:dxf>
          </x14:cfRule>
          <x14:cfRule type="cellIs" priority="63" operator="equal" id="{0052AF57-F3E9-459E-A638-9E43C9AA09BE}">
            <xm:f>Metrics!$B$3</xm:f>
            <x14:dxf>
              <font>
                <color theme="0" tint="-0.14996795556505021"/>
              </font>
              <fill>
                <patternFill>
                  <bgColor theme="0"/>
                </patternFill>
              </fill>
            </x14:dxf>
          </x14:cfRule>
          <xm:sqref>D70:D78</xm:sqref>
        </x14:conditionalFormatting>
        <x14:conditionalFormatting xmlns:xm="http://schemas.microsoft.com/office/excel/2006/main">
          <x14:cfRule type="cellIs" priority="45" operator="equal" id="{9C21A46E-CDDD-44F6-9CBB-A476DC87C00F}">
            <xm:f>Metrics!$B$10</xm:f>
            <x14:dxf>
              <font>
                <color theme="0"/>
              </font>
              <fill>
                <patternFill>
                  <bgColor theme="0" tint="-0.34998626667073579"/>
                </patternFill>
              </fill>
            </x14:dxf>
          </x14:cfRule>
          <x14:cfRule type="cellIs" priority="46" operator="equal" id="{1ED7F891-A43A-4971-95EF-3FAE6B291170}">
            <xm:f>Metrics!$B$9</xm:f>
            <x14:dxf>
              <font>
                <color theme="0"/>
              </font>
              <fill>
                <patternFill>
                  <bgColor rgb="FF336600"/>
                </patternFill>
              </fill>
            </x14:dxf>
          </x14:cfRule>
          <x14:cfRule type="cellIs" priority="47" operator="equal" id="{E7145D37-0C5C-4DB7-8599-24E510AEA1E7}">
            <xm:f>Metrics!$B$8</xm:f>
            <x14:dxf>
              <font>
                <color theme="0"/>
              </font>
              <fill>
                <patternFill>
                  <bgColor rgb="FF92D050"/>
                </patternFill>
              </fill>
            </x14:dxf>
          </x14:cfRule>
          <x14:cfRule type="cellIs" priority="48" operator="equal" id="{D011DFC3-E7B9-4A9C-AE15-23367C5EEDA0}">
            <xm:f>Metrics!$B$7</xm:f>
            <x14:dxf>
              <font>
                <color theme="0"/>
              </font>
              <fill>
                <patternFill>
                  <bgColor rgb="FFFFC000"/>
                </patternFill>
              </fill>
            </x14:dxf>
          </x14:cfRule>
          <x14:cfRule type="cellIs" priority="49" operator="equal" id="{83637D4E-AAA4-45D6-8C4B-D701964FA539}">
            <xm:f>Metrics!$B$6</xm:f>
            <x14:dxf>
              <font>
                <color theme="0"/>
              </font>
              <fill>
                <patternFill>
                  <bgColor theme="2" tint="-0.499984740745262"/>
                </patternFill>
              </fill>
            </x14:dxf>
          </x14:cfRule>
          <x14:cfRule type="cellIs" priority="50" operator="equal" id="{ACAD5881-ECFB-4AD2-8D09-CB9E6ED3F28F}">
            <xm:f>Metrics!$B$5</xm:f>
            <x14:dxf>
              <font>
                <color theme="0"/>
              </font>
              <fill>
                <patternFill>
                  <bgColor rgb="FFC00000"/>
                </patternFill>
              </fill>
            </x14:dxf>
          </x14:cfRule>
          <x14:cfRule type="cellIs" priority="51" operator="equal" id="{27ADAC8C-4134-4AF1-95C3-852F13A32F65}">
            <xm:f>Metrics!$B$4</xm:f>
            <x14:dxf>
              <font>
                <color theme="0"/>
              </font>
              <fill>
                <patternFill>
                  <bgColor rgb="FFFF0000"/>
                </patternFill>
              </fill>
            </x14:dxf>
          </x14:cfRule>
          <x14:cfRule type="cellIs" priority="52" operator="equal" id="{0F072ACC-18BD-4596-90CF-75CFE9212AFD}">
            <xm:f>Metrics!$B$3</xm:f>
            <x14:dxf>
              <font>
                <color theme="0" tint="-0.14996795556505021"/>
              </font>
              <fill>
                <patternFill>
                  <bgColor theme="0"/>
                </patternFill>
              </fill>
            </x14:dxf>
          </x14:cfRule>
          <xm:sqref>D79:D91</xm:sqref>
        </x14:conditionalFormatting>
        <x14:conditionalFormatting xmlns:xm="http://schemas.microsoft.com/office/excel/2006/main">
          <x14:cfRule type="cellIs" priority="34" operator="equal" id="{DF7129B9-70E2-473D-9874-569EDE454E00}">
            <xm:f>Metrics!$B$10</xm:f>
            <x14:dxf>
              <font>
                <color theme="0"/>
              </font>
              <fill>
                <patternFill>
                  <bgColor theme="0" tint="-0.34998626667073579"/>
                </patternFill>
              </fill>
            </x14:dxf>
          </x14:cfRule>
          <x14:cfRule type="cellIs" priority="35" operator="equal" id="{6A96597D-E99A-4957-AB21-D0D8E3FE5643}">
            <xm:f>Metrics!$B$9</xm:f>
            <x14:dxf>
              <font>
                <color theme="0"/>
              </font>
              <fill>
                <patternFill>
                  <bgColor rgb="FF336600"/>
                </patternFill>
              </fill>
            </x14:dxf>
          </x14:cfRule>
          <x14:cfRule type="cellIs" priority="36" operator="equal" id="{57845AD8-8BE3-4AA2-9BEC-AAD5F4DA7A54}">
            <xm:f>Metrics!$B$8</xm:f>
            <x14:dxf>
              <font>
                <color theme="0"/>
              </font>
              <fill>
                <patternFill>
                  <bgColor rgb="FF92D050"/>
                </patternFill>
              </fill>
            </x14:dxf>
          </x14:cfRule>
          <x14:cfRule type="cellIs" priority="37" operator="equal" id="{7602C839-C16D-4A2D-B312-AC6052B485C2}">
            <xm:f>Metrics!$B$7</xm:f>
            <x14:dxf>
              <font>
                <color theme="0"/>
              </font>
              <fill>
                <patternFill>
                  <bgColor rgb="FFFFC000"/>
                </patternFill>
              </fill>
            </x14:dxf>
          </x14:cfRule>
          <x14:cfRule type="cellIs" priority="38" operator="equal" id="{650EB8A1-C301-4823-952E-C3150413A73B}">
            <xm:f>Metrics!$B$6</xm:f>
            <x14:dxf>
              <font>
                <color theme="0"/>
              </font>
              <fill>
                <patternFill>
                  <bgColor theme="2" tint="-0.499984740745262"/>
                </patternFill>
              </fill>
            </x14:dxf>
          </x14:cfRule>
          <x14:cfRule type="cellIs" priority="39" operator="equal" id="{45248063-443C-4C91-BCE4-936771427074}">
            <xm:f>Metrics!$B$5</xm:f>
            <x14:dxf>
              <font>
                <color theme="0"/>
              </font>
              <fill>
                <patternFill>
                  <bgColor rgb="FFC00000"/>
                </patternFill>
              </fill>
            </x14:dxf>
          </x14:cfRule>
          <x14:cfRule type="cellIs" priority="40" operator="equal" id="{819671FB-DE2E-4127-8C2B-9EB07BF49769}">
            <xm:f>Metrics!$B$4</xm:f>
            <x14:dxf>
              <font>
                <color theme="0"/>
              </font>
              <fill>
                <patternFill>
                  <bgColor rgb="FFFF0000"/>
                </patternFill>
              </fill>
            </x14:dxf>
          </x14:cfRule>
          <x14:cfRule type="cellIs" priority="41" operator="equal" id="{C19F5178-18C5-4436-B185-41B06A698D2D}">
            <xm:f>Metrics!$B$3</xm:f>
            <x14:dxf>
              <font>
                <color theme="0" tint="-0.14996795556505021"/>
              </font>
              <fill>
                <patternFill>
                  <bgColor theme="0"/>
                </patternFill>
              </fill>
            </x14:dxf>
          </x14:cfRule>
          <xm:sqref>D92:D99</xm:sqref>
        </x14:conditionalFormatting>
        <x14:conditionalFormatting xmlns:xm="http://schemas.microsoft.com/office/excel/2006/main">
          <x14:cfRule type="cellIs" priority="23" operator="equal" id="{82A70023-26D9-490A-8C32-317A0698D06B}">
            <xm:f>Metrics!$B$10</xm:f>
            <x14:dxf>
              <font>
                <color theme="0"/>
              </font>
              <fill>
                <patternFill>
                  <bgColor theme="0" tint="-0.34998626667073579"/>
                </patternFill>
              </fill>
            </x14:dxf>
          </x14:cfRule>
          <x14:cfRule type="cellIs" priority="24" operator="equal" id="{899CCB58-72CC-455F-87D4-33B12113D29B}">
            <xm:f>Metrics!$B$9</xm:f>
            <x14:dxf>
              <font>
                <color theme="0"/>
              </font>
              <fill>
                <patternFill>
                  <bgColor rgb="FF336600"/>
                </patternFill>
              </fill>
            </x14:dxf>
          </x14:cfRule>
          <x14:cfRule type="cellIs" priority="25" operator="equal" id="{93468AD7-8916-4D25-8767-25F2A640EA6C}">
            <xm:f>Metrics!$B$8</xm:f>
            <x14:dxf>
              <font>
                <color theme="0"/>
              </font>
              <fill>
                <patternFill>
                  <bgColor rgb="FF92D050"/>
                </patternFill>
              </fill>
            </x14:dxf>
          </x14:cfRule>
          <x14:cfRule type="cellIs" priority="26" operator="equal" id="{F22D0FE1-9D8E-4840-9E31-BBB654FA6637}">
            <xm:f>Metrics!$B$7</xm:f>
            <x14:dxf>
              <font>
                <color theme="0"/>
              </font>
              <fill>
                <patternFill>
                  <bgColor rgb="FFFFC000"/>
                </patternFill>
              </fill>
            </x14:dxf>
          </x14:cfRule>
          <x14:cfRule type="cellIs" priority="27" operator="equal" id="{9F52535D-8227-4F0F-BF34-C5CD72FBBF62}">
            <xm:f>Metrics!$B$6</xm:f>
            <x14:dxf>
              <font>
                <color theme="0"/>
              </font>
              <fill>
                <patternFill>
                  <bgColor theme="2" tint="-0.499984740745262"/>
                </patternFill>
              </fill>
            </x14:dxf>
          </x14:cfRule>
          <x14:cfRule type="cellIs" priority="28" operator="equal" id="{25D03256-7BBE-4D70-A38B-CC6F8362E49B}">
            <xm:f>Metrics!$B$5</xm:f>
            <x14:dxf>
              <font>
                <color theme="0"/>
              </font>
              <fill>
                <patternFill>
                  <bgColor rgb="FFC00000"/>
                </patternFill>
              </fill>
            </x14:dxf>
          </x14:cfRule>
          <x14:cfRule type="cellIs" priority="29" operator="equal" id="{2F386CCE-0DC7-4ACC-B34A-7E7C227608EA}">
            <xm:f>Metrics!$B$4</xm:f>
            <x14:dxf>
              <font>
                <color theme="0"/>
              </font>
              <fill>
                <patternFill>
                  <bgColor rgb="FFFF0000"/>
                </patternFill>
              </fill>
            </x14:dxf>
          </x14:cfRule>
          <x14:cfRule type="cellIs" priority="30" operator="equal" id="{5E24C6B1-5870-4599-9466-946B4521E243}">
            <xm:f>Metrics!$B$3</xm:f>
            <x14:dxf>
              <font>
                <color theme="0" tint="-0.14996795556505021"/>
              </font>
              <fill>
                <patternFill>
                  <bgColor theme="0"/>
                </patternFill>
              </fill>
            </x14:dxf>
          </x14:cfRule>
          <xm:sqref>D61:D64</xm:sqref>
        </x14:conditionalFormatting>
        <x14:conditionalFormatting xmlns:xm="http://schemas.microsoft.com/office/excel/2006/main">
          <x14:cfRule type="cellIs" priority="12" operator="equal" id="{30F1CAB1-43CA-405D-BDD9-1D5A950E783C}">
            <xm:f>Metrics!$B$10</xm:f>
            <x14:dxf>
              <font>
                <color theme="0"/>
              </font>
              <fill>
                <patternFill>
                  <bgColor theme="0" tint="-0.34998626667073579"/>
                </patternFill>
              </fill>
            </x14:dxf>
          </x14:cfRule>
          <x14:cfRule type="cellIs" priority="13" operator="equal" id="{86C519EF-48D3-49DA-B105-CDBB01E1D0BC}">
            <xm:f>Metrics!$B$9</xm:f>
            <x14:dxf>
              <font>
                <color theme="0"/>
              </font>
              <fill>
                <patternFill>
                  <bgColor rgb="FF336600"/>
                </patternFill>
              </fill>
            </x14:dxf>
          </x14:cfRule>
          <x14:cfRule type="cellIs" priority="14" operator="equal" id="{5A9C072E-A022-4426-9945-F4CA3994A93E}">
            <xm:f>Metrics!$B$8</xm:f>
            <x14:dxf>
              <font>
                <color theme="0"/>
              </font>
              <fill>
                <patternFill>
                  <bgColor rgb="FF92D050"/>
                </patternFill>
              </fill>
            </x14:dxf>
          </x14:cfRule>
          <x14:cfRule type="cellIs" priority="15" operator="equal" id="{BF7FD4FC-05A6-49E4-AB96-466CC53FE51C}">
            <xm:f>Metrics!$B$7</xm:f>
            <x14:dxf>
              <font>
                <color theme="0"/>
              </font>
              <fill>
                <patternFill>
                  <bgColor rgb="FFFFC000"/>
                </patternFill>
              </fill>
            </x14:dxf>
          </x14:cfRule>
          <x14:cfRule type="cellIs" priority="16" operator="equal" id="{8E8933B9-BA54-4E5B-BFE1-FBAA89CECF35}">
            <xm:f>Metrics!$B$6</xm:f>
            <x14:dxf>
              <font>
                <color theme="0"/>
              </font>
              <fill>
                <patternFill>
                  <bgColor theme="2" tint="-0.499984740745262"/>
                </patternFill>
              </fill>
            </x14:dxf>
          </x14:cfRule>
          <x14:cfRule type="cellIs" priority="17" operator="equal" id="{5C98DA61-1D8B-4EF0-AF67-B51F2DFAD7EF}">
            <xm:f>Metrics!$B$5</xm:f>
            <x14:dxf>
              <font>
                <color theme="0"/>
              </font>
              <fill>
                <patternFill>
                  <bgColor rgb="FFC00000"/>
                </patternFill>
              </fill>
            </x14:dxf>
          </x14:cfRule>
          <x14:cfRule type="cellIs" priority="18" operator="equal" id="{443CFB05-49EB-494D-9E45-26896EF3613C}">
            <xm:f>Metrics!$B$4</xm:f>
            <x14:dxf>
              <font>
                <color theme="0"/>
              </font>
              <fill>
                <patternFill>
                  <bgColor rgb="FFFF0000"/>
                </patternFill>
              </fill>
            </x14:dxf>
          </x14:cfRule>
          <x14:cfRule type="cellIs" priority="19" operator="equal" id="{FD6C801B-8CE3-48E7-98F2-83DB36D66A2D}">
            <xm:f>Metrics!$B$3</xm:f>
            <x14:dxf>
              <font>
                <color theme="0" tint="-0.14996795556505021"/>
              </font>
              <fill>
                <patternFill>
                  <bgColor theme="0"/>
                </patternFill>
              </fill>
            </x14:dxf>
          </x14:cfRule>
          <xm:sqref>D47:D48</xm:sqref>
        </x14:conditionalFormatting>
        <x14:conditionalFormatting xmlns:xm="http://schemas.microsoft.com/office/excel/2006/main">
          <x14:cfRule type="cellIs" priority="1" operator="equal" id="{9217A769-C99A-4BB3-89BD-AB01FDEC24FA}">
            <xm:f>Metrics!$B$10</xm:f>
            <x14:dxf>
              <font>
                <color theme="0"/>
              </font>
              <fill>
                <patternFill>
                  <bgColor theme="0" tint="-0.34998626667073579"/>
                </patternFill>
              </fill>
            </x14:dxf>
          </x14:cfRule>
          <x14:cfRule type="cellIs" priority="2" operator="equal" id="{E51E60EC-6781-40C2-87DD-06215FD1A168}">
            <xm:f>Metrics!$B$9</xm:f>
            <x14:dxf>
              <font>
                <color theme="0"/>
              </font>
              <fill>
                <patternFill>
                  <bgColor rgb="FF336600"/>
                </patternFill>
              </fill>
            </x14:dxf>
          </x14:cfRule>
          <x14:cfRule type="cellIs" priority="3" operator="equal" id="{FE37FAA3-2EFB-426D-9F1C-A4AA70741BAF}">
            <xm:f>Metrics!$B$8</xm:f>
            <x14:dxf>
              <font>
                <color theme="0"/>
              </font>
              <fill>
                <patternFill>
                  <bgColor rgb="FF92D050"/>
                </patternFill>
              </fill>
            </x14:dxf>
          </x14:cfRule>
          <x14:cfRule type="cellIs" priority="4" operator="equal" id="{CEDFE05A-4E51-4B08-AEB0-2AAC7F2E3162}">
            <xm:f>Metrics!$B$7</xm:f>
            <x14:dxf>
              <font>
                <color theme="0"/>
              </font>
              <fill>
                <patternFill>
                  <bgColor rgb="FFFFC000"/>
                </patternFill>
              </fill>
            </x14:dxf>
          </x14:cfRule>
          <x14:cfRule type="cellIs" priority="5" operator="equal" id="{6024678F-6390-4D95-867E-3C92B8A64CF8}">
            <xm:f>Metrics!$B$6</xm:f>
            <x14:dxf>
              <font>
                <color theme="0"/>
              </font>
              <fill>
                <patternFill>
                  <bgColor theme="2" tint="-0.499984740745262"/>
                </patternFill>
              </fill>
            </x14:dxf>
          </x14:cfRule>
          <x14:cfRule type="cellIs" priority="6" operator="equal" id="{C20125A0-7730-4310-8DF1-FBBBF4557DB6}">
            <xm:f>Metrics!$B$5</xm:f>
            <x14:dxf>
              <font>
                <color theme="0"/>
              </font>
              <fill>
                <patternFill>
                  <bgColor rgb="FFC00000"/>
                </patternFill>
              </fill>
            </x14:dxf>
          </x14:cfRule>
          <x14:cfRule type="cellIs" priority="7" operator="equal" id="{7E1E0CF5-E922-4CD3-A664-37AC38AA28A3}">
            <xm:f>Metrics!$B$4</xm:f>
            <x14:dxf>
              <font>
                <color theme="0"/>
              </font>
              <fill>
                <patternFill>
                  <bgColor rgb="FFFF0000"/>
                </patternFill>
              </fill>
            </x14:dxf>
          </x14:cfRule>
          <x14:cfRule type="cellIs" priority="8" operator="equal" id="{D5A13EEE-3DE8-46C3-BEF2-669D14D5097C}">
            <xm:f>Metrics!$B$3</xm:f>
            <x14:dxf>
              <font>
                <color theme="0" tint="-0.14996795556505021"/>
              </font>
              <fill>
                <patternFill>
                  <bgColor theme="0"/>
                </patternFill>
              </fill>
            </x14:dxf>
          </x14:cfRule>
          <xm:sqref>D32:D40</xm:sqref>
        </x14:conditionalFormatting>
      </x14:conditionalFormattings>
    </ext>
    <ext xmlns:x14="http://schemas.microsoft.com/office/spreadsheetml/2009/9/main" uri="{CCE6A557-97BC-4b89-ADB6-D9C93CAAB3DF}">
      <x14:dataValidations xmlns:xm="http://schemas.microsoft.com/office/excel/2006/main" count="1">
        <x14:dataValidation type="list" operator="equal" allowBlank="1" showInputMessage="1" showErrorMessage="1" promptTitle="Select status" xr:uid="{00000000-0002-0000-0200-000000000000}">
          <x14:formula1>
            <xm:f>Metrics!$B$3:$B$10</xm:f>
          </x14:formula1>
          <xm:sqref>D42:D49 D51:D64 D66:D99 D4:D40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E319"/>
  <sheetViews>
    <sheetView zoomScaleNormal="100" workbookViewId="0">
      <selection activeCell="R6" sqref="R6"/>
    </sheetView>
  </sheetViews>
  <sheetFormatPr defaultColWidth="9.1796875" defaultRowHeight="13" x14ac:dyDescent="0.3"/>
  <cols>
    <col min="1" max="1" width="3.26953125" style="24" customWidth="1"/>
    <col min="2" max="2" width="14" style="24" bestFit="1" customWidth="1"/>
    <col min="3" max="3" width="31.7265625" style="24" customWidth="1"/>
    <col min="4" max="4" width="13.26953125" style="24" customWidth="1"/>
    <col min="5" max="5" width="13" style="24" customWidth="1"/>
    <col min="6" max="16384" width="9.1796875" style="24"/>
  </cols>
  <sheetData>
    <row r="1" spans="2:5" ht="13.5" thickBot="1" x14ac:dyDescent="0.35"/>
    <row r="2" spans="2:5" s="33" customFormat="1" ht="43.5" customHeight="1" thickBot="1" x14ac:dyDescent="0.5">
      <c r="B2" s="59" t="s">
        <v>0</v>
      </c>
      <c r="C2" s="60" t="s">
        <v>7</v>
      </c>
      <c r="D2" s="61" t="s">
        <v>39</v>
      </c>
      <c r="E2" s="62" t="s">
        <v>40</v>
      </c>
    </row>
    <row r="3" spans="2:5" s="34" customFormat="1" ht="58.5" customHeight="1" x14ac:dyDescent="0.25">
      <c r="B3" s="63" t="s">
        <v>30</v>
      </c>
      <c r="C3" s="64" t="s">
        <v>25</v>
      </c>
      <c r="D3" s="65">
        <f>COUNTIF('Mandatory ISMS requirements'!$D$3:$D$60,$B3)/'Mandatory ISMS requirements'!$D$61</f>
        <v>0</v>
      </c>
      <c r="E3" s="66">
        <f>COUNTIF('Annex A controls'!$D$3:$D$99,$B3)/[0]!ControlTotal</f>
        <v>0</v>
      </c>
    </row>
    <row r="4" spans="2:5" s="34" customFormat="1" ht="58.5" customHeight="1" x14ac:dyDescent="0.25">
      <c r="B4" s="67" t="s">
        <v>14</v>
      </c>
      <c r="C4" s="30" t="s">
        <v>21</v>
      </c>
      <c r="D4" s="32">
        <f>COUNTIF('Mandatory ISMS requirements'!$D$3:$D$60,$B4)/'Mandatory ISMS requirements'!$D$61</f>
        <v>0</v>
      </c>
      <c r="E4" s="55">
        <f>COUNTIF('Annex A controls'!$D$3:$D$99,$B4)/[0]!ControlTotal</f>
        <v>0</v>
      </c>
    </row>
    <row r="5" spans="2:5" s="34" customFormat="1" ht="58.5" customHeight="1" x14ac:dyDescent="0.25">
      <c r="B5" s="67" t="s">
        <v>8</v>
      </c>
      <c r="C5" s="30" t="s">
        <v>22</v>
      </c>
      <c r="D5" s="32">
        <f>COUNTIF('Mandatory ISMS requirements'!$D$3:$D$60,$B5)/'Mandatory ISMS requirements'!$D$61</f>
        <v>0</v>
      </c>
      <c r="E5" s="55">
        <f>COUNTIF('Annex A controls'!$D$3:$D$99,$B5)/[0]!ControlTotal</f>
        <v>0</v>
      </c>
    </row>
    <row r="6" spans="2:5" s="34" customFormat="1" ht="58.5" customHeight="1" x14ac:dyDescent="0.25">
      <c r="B6" s="67" t="s">
        <v>9</v>
      </c>
      <c r="C6" s="30" t="s">
        <v>23</v>
      </c>
      <c r="D6" s="32">
        <f>COUNTIF('Mandatory ISMS requirements'!$D$3:$D$60,$B6)/'Mandatory ISMS requirements'!$D$61</f>
        <v>0</v>
      </c>
      <c r="E6" s="55">
        <f>COUNTIF('Annex A controls'!$D$3:$D$99,$B6)/[0]!ControlTotal</f>
        <v>0</v>
      </c>
    </row>
    <row r="7" spans="2:5" s="34" customFormat="1" ht="58.5" customHeight="1" x14ac:dyDescent="0.25">
      <c r="B7" s="67" t="s">
        <v>10</v>
      </c>
      <c r="C7" s="30" t="s">
        <v>24</v>
      </c>
      <c r="D7" s="32">
        <f>COUNTIF('Mandatory ISMS requirements'!$D$3:$D$60,$B7)/'Mandatory ISMS requirements'!$D$61</f>
        <v>0</v>
      </c>
      <c r="E7" s="55">
        <f>COUNTIF('Annex A controls'!$D$3:$D$99,$B7)/[0]!ControlTotal</f>
        <v>0</v>
      </c>
    </row>
    <row r="8" spans="2:5" s="34" customFormat="1" ht="58.5" customHeight="1" x14ac:dyDescent="0.25">
      <c r="B8" s="67" t="s">
        <v>11</v>
      </c>
      <c r="C8" s="30" t="s">
        <v>27</v>
      </c>
      <c r="D8" s="32">
        <f>COUNTIF('Mandatory ISMS requirements'!$D$3:$D$60,$B8)/'Mandatory ISMS requirements'!$D$61</f>
        <v>1</v>
      </c>
      <c r="E8" s="55">
        <f>COUNTIF('Annex A controls'!$D$3:$D$99,$B8)/[0]!ControlTotal</f>
        <v>1</v>
      </c>
    </row>
    <row r="9" spans="2:5" s="34" customFormat="1" ht="58.5" customHeight="1" x14ac:dyDescent="0.25">
      <c r="B9" s="67" t="s">
        <v>12</v>
      </c>
      <c r="C9" s="30" t="s">
        <v>28</v>
      </c>
      <c r="D9" s="32">
        <f>COUNTIF('Mandatory ISMS requirements'!$D$3:$D$60,$B9)/'Mandatory ISMS requirements'!$D$61</f>
        <v>0</v>
      </c>
      <c r="E9" s="55">
        <f>COUNTIF('Annex A controls'!$D$3:$D$99,$B9)/[0]!ControlTotal</f>
        <v>0</v>
      </c>
    </row>
    <row r="10" spans="2:5" s="34" customFormat="1" ht="58.5" customHeight="1" thickBot="1" x14ac:dyDescent="0.3">
      <c r="B10" s="68" t="s">
        <v>16</v>
      </c>
      <c r="C10" s="56" t="s">
        <v>29</v>
      </c>
      <c r="D10" s="57">
        <f>COUNTIF('Mandatory ISMS requirements'!$D$3:$D$60,$B10)/'Mandatory ISMS requirements'!$D$61</f>
        <v>0</v>
      </c>
      <c r="E10" s="58">
        <f>COUNTIF('Annex A controls'!$D$3:$D$99,$B10)/[0]!ControlTotal</f>
        <v>0</v>
      </c>
    </row>
    <row r="11" spans="2:5" s="34" customFormat="1" x14ac:dyDescent="0.25">
      <c r="C11" s="35" t="s">
        <v>13</v>
      </c>
      <c r="D11" s="36">
        <f>SUM(D3:D10)</f>
        <v>1</v>
      </c>
      <c r="E11" s="36">
        <f>SUM(E3:E10)</f>
        <v>1</v>
      </c>
    </row>
    <row r="12" spans="2:5" s="34" customFormat="1" x14ac:dyDescent="0.25"/>
    <row r="13" spans="2:5" s="34" customFormat="1" x14ac:dyDescent="0.25"/>
    <row r="14" spans="2:5" s="34" customFormat="1" ht="21" x14ac:dyDescent="0.25">
      <c r="B14" s="40"/>
    </row>
    <row r="15" spans="2:5" s="34" customFormat="1" ht="21" x14ac:dyDescent="0.25">
      <c r="B15" s="40"/>
    </row>
    <row r="16" spans="2:5" s="34" customFormat="1" ht="21" x14ac:dyDescent="0.25">
      <c r="B16" s="40"/>
    </row>
    <row r="17" s="34" customFormat="1" x14ac:dyDescent="0.25"/>
    <row r="18" s="34" customFormat="1" x14ac:dyDescent="0.25"/>
    <row r="19" s="34" customFormat="1" x14ac:dyDescent="0.25"/>
    <row r="20" s="34" customFormat="1" x14ac:dyDescent="0.25"/>
    <row r="21" s="34" customFormat="1" x14ac:dyDescent="0.25"/>
    <row r="22" s="34" customFormat="1" x14ac:dyDescent="0.25"/>
    <row r="23" s="34" customFormat="1" x14ac:dyDescent="0.25"/>
    <row r="24" s="34" customFormat="1" x14ac:dyDescent="0.25"/>
    <row r="25" s="34" customFormat="1" x14ac:dyDescent="0.25"/>
    <row r="26" s="34" customFormat="1" x14ac:dyDescent="0.25"/>
    <row r="27" s="34" customFormat="1" x14ac:dyDescent="0.25"/>
    <row r="28" s="34" customFormat="1" x14ac:dyDescent="0.25"/>
    <row r="29" s="34" customFormat="1" x14ac:dyDescent="0.25"/>
    <row r="30" s="34" customFormat="1" x14ac:dyDescent="0.25"/>
    <row r="31" s="34" customFormat="1" x14ac:dyDescent="0.25"/>
    <row r="32" s="34" customFormat="1" x14ac:dyDescent="0.25"/>
    <row r="33" s="34" customFormat="1" x14ac:dyDescent="0.25"/>
    <row r="34" s="34" customFormat="1" x14ac:dyDescent="0.25"/>
    <row r="35" s="34" customFormat="1" x14ac:dyDescent="0.25"/>
    <row r="36" s="34" customFormat="1" x14ac:dyDescent="0.25"/>
    <row r="37" s="34" customFormat="1" x14ac:dyDescent="0.25"/>
    <row r="38" s="34" customFormat="1" x14ac:dyDescent="0.25"/>
    <row r="39" s="34" customFormat="1" x14ac:dyDescent="0.25"/>
    <row r="40" s="34" customFormat="1" x14ac:dyDescent="0.25"/>
    <row r="41" s="34" customFormat="1" x14ac:dyDescent="0.25"/>
    <row r="42" s="34" customFormat="1" x14ac:dyDescent="0.25"/>
    <row r="43" s="34" customFormat="1" x14ac:dyDescent="0.25"/>
    <row r="44" s="34" customFormat="1" x14ac:dyDescent="0.25"/>
    <row r="45" s="34" customFormat="1" x14ac:dyDescent="0.25"/>
    <row r="46" s="34" customFormat="1" x14ac:dyDescent="0.25"/>
    <row r="47" s="34" customFormat="1" x14ac:dyDescent="0.25"/>
    <row r="48" s="34" customFormat="1" x14ac:dyDescent="0.25"/>
    <row r="49" s="34" customFormat="1" x14ac:dyDescent="0.25"/>
    <row r="50" s="34" customFormat="1" x14ac:dyDescent="0.25"/>
    <row r="51" s="34" customFormat="1" x14ac:dyDescent="0.25"/>
    <row r="52" s="34" customFormat="1" x14ac:dyDescent="0.25"/>
    <row r="53" s="34" customFormat="1" x14ac:dyDescent="0.25"/>
    <row r="54" s="34" customFormat="1" x14ac:dyDescent="0.25"/>
    <row r="55" s="34" customFormat="1" x14ac:dyDescent="0.25"/>
    <row r="56" s="34" customFormat="1" x14ac:dyDescent="0.25"/>
    <row r="57" s="34" customFormat="1" x14ac:dyDescent="0.25"/>
    <row r="58" s="34" customFormat="1" x14ac:dyDescent="0.25"/>
    <row r="59" s="34" customFormat="1" x14ac:dyDescent="0.25"/>
    <row r="60" s="34" customFormat="1" x14ac:dyDescent="0.25"/>
    <row r="61" s="34" customFormat="1" x14ac:dyDescent="0.25"/>
    <row r="62" s="34" customFormat="1" x14ac:dyDescent="0.25"/>
    <row r="63" s="34" customFormat="1" x14ac:dyDescent="0.25"/>
    <row r="64" s="34" customFormat="1" x14ac:dyDescent="0.25"/>
    <row r="65" s="34" customFormat="1" x14ac:dyDescent="0.25"/>
    <row r="66" s="34" customFormat="1" x14ac:dyDescent="0.25"/>
    <row r="67" s="34" customFormat="1" x14ac:dyDescent="0.25"/>
    <row r="68" s="34" customFormat="1" x14ac:dyDescent="0.25"/>
    <row r="69" s="34" customFormat="1" x14ac:dyDescent="0.25"/>
    <row r="70" s="34" customFormat="1" x14ac:dyDescent="0.25"/>
    <row r="71" s="34" customFormat="1" x14ac:dyDescent="0.25"/>
    <row r="72" s="34" customFormat="1" x14ac:dyDescent="0.25"/>
    <row r="73" s="34" customFormat="1" x14ac:dyDescent="0.25"/>
    <row r="74" s="34" customFormat="1" x14ac:dyDescent="0.25"/>
    <row r="75" s="34" customFormat="1" x14ac:dyDescent="0.25"/>
    <row r="76" s="34" customFormat="1" x14ac:dyDescent="0.25"/>
    <row r="77" s="34" customFormat="1" x14ac:dyDescent="0.25"/>
    <row r="78" s="34" customFormat="1" x14ac:dyDescent="0.25"/>
    <row r="79" s="34" customFormat="1" x14ac:dyDescent="0.25"/>
    <row r="80" s="34" customFormat="1" x14ac:dyDescent="0.25"/>
    <row r="81" s="34" customFormat="1" x14ac:dyDescent="0.25"/>
    <row r="82" s="34" customFormat="1" x14ac:dyDescent="0.25"/>
    <row r="83" s="34" customFormat="1" x14ac:dyDescent="0.25"/>
    <row r="84" s="34" customFormat="1" x14ac:dyDescent="0.25"/>
    <row r="85" s="34" customFormat="1" x14ac:dyDescent="0.25"/>
    <row r="86" s="34" customFormat="1" x14ac:dyDescent="0.25"/>
    <row r="87" s="34" customFormat="1" x14ac:dyDescent="0.25"/>
    <row r="88" s="34" customFormat="1" x14ac:dyDescent="0.25"/>
    <row r="89" s="34" customFormat="1" x14ac:dyDescent="0.25"/>
    <row r="90" s="34" customFormat="1" x14ac:dyDescent="0.25"/>
    <row r="91" s="34" customFormat="1" x14ac:dyDescent="0.25"/>
    <row r="92" s="34" customFormat="1" x14ac:dyDescent="0.25"/>
    <row r="93" s="34" customFormat="1" x14ac:dyDescent="0.25"/>
    <row r="94" s="34" customFormat="1" x14ac:dyDescent="0.25"/>
    <row r="95" s="34" customFormat="1" x14ac:dyDescent="0.25"/>
    <row r="96" s="34" customFormat="1" x14ac:dyDescent="0.25"/>
    <row r="97" s="34" customFormat="1" x14ac:dyDescent="0.25"/>
    <row r="98" s="34" customFormat="1" x14ac:dyDescent="0.25"/>
    <row r="99" s="34" customFormat="1" x14ac:dyDescent="0.25"/>
    <row r="100" s="34" customFormat="1" x14ac:dyDescent="0.25"/>
    <row r="101" s="34" customFormat="1" x14ac:dyDescent="0.25"/>
    <row r="102" s="34" customFormat="1" x14ac:dyDescent="0.25"/>
    <row r="103" s="34" customFormat="1" x14ac:dyDescent="0.25"/>
    <row r="104" s="34" customFormat="1" x14ac:dyDescent="0.25"/>
    <row r="105" s="34" customFormat="1" x14ac:dyDescent="0.25"/>
    <row r="106" s="34" customFormat="1" x14ac:dyDescent="0.25"/>
    <row r="107" s="34" customFormat="1" x14ac:dyDescent="0.25"/>
    <row r="108" s="34" customFormat="1" x14ac:dyDescent="0.25"/>
    <row r="109" s="34" customFormat="1" x14ac:dyDescent="0.25"/>
    <row r="110" s="34" customFormat="1" x14ac:dyDescent="0.25"/>
    <row r="111" s="34" customFormat="1" x14ac:dyDescent="0.25"/>
    <row r="112" s="34" customFormat="1" x14ac:dyDescent="0.25"/>
    <row r="113" s="34" customFormat="1" x14ac:dyDescent="0.25"/>
    <row r="114" s="34" customFormat="1" x14ac:dyDescent="0.25"/>
    <row r="115" s="34" customFormat="1" x14ac:dyDescent="0.25"/>
    <row r="116" s="34" customFormat="1" x14ac:dyDescent="0.25"/>
    <row r="117" s="34" customFormat="1" x14ac:dyDescent="0.25"/>
    <row r="118" s="34" customFormat="1" x14ac:dyDescent="0.25"/>
    <row r="119" s="34" customFormat="1" x14ac:dyDescent="0.25"/>
    <row r="120" s="34" customFormat="1" x14ac:dyDescent="0.25"/>
    <row r="121" s="34" customFormat="1" x14ac:dyDescent="0.25"/>
    <row r="122" s="34" customFormat="1" x14ac:dyDescent="0.25"/>
    <row r="123" s="34" customFormat="1" x14ac:dyDescent="0.25"/>
    <row r="124" s="34" customFormat="1" x14ac:dyDescent="0.25"/>
    <row r="125" s="34" customFormat="1" x14ac:dyDescent="0.25"/>
    <row r="126" s="34" customFormat="1" x14ac:dyDescent="0.25"/>
    <row r="127" s="34" customFormat="1" x14ac:dyDescent="0.25"/>
    <row r="128" s="34" customFormat="1" x14ac:dyDescent="0.25"/>
    <row r="129" s="34" customFormat="1" x14ac:dyDescent="0.25"/>
    <row r="130" s="34" customFormat="1" x14ac:dyDescent="0.25"/>
    <row r="131" s="34" customFormat="1" x14ac:dyDescent="0.25"/>
    <row r="132" s="34" customFormat="1" x14ac:dyDescent="0.25"/>
    <row r="133" s="34" customFormat="1" x14ac:dyDescent="0.25"/>
    <row r="134" s="34" customFormat="1" x14ac:dyDescent="0.25"/>
    <row r="135" s="34" customFormat="1" x14ac:dyDescent="0.25"/>
    <row r="136" s="34" customFormat="1" x14ac:dyDescent="0.25"/>
    <row r="137" s="34" customFormat="1" x14ac:dyDescent="0.25"/>
    <row r="138" s="34" customFormat="1" x14ac:dyDescent="0.25"/>
    <row r="139" s="34" customFormat="1" x14ac:dyDescent="0.25"/>
    <row r="140" s="34" customFormat="1" x14ac:dyDescent="0.25"/>
    <row r="141" s="34" customFormat="1" x14ac:dyDescent="0.25"/>
    <row r="142" s="34" customFormat="1" x14ac:dyDescent="0.25"/>
    <row r="143" s="34" customFormat="1" x14ac:dyDescent="0.25"/>
    <row r="144" s="34" customFormat="1" x14ac:dyDescent="0.25"/>
    <row r="145" s="34" customFormat="1" x14ac:dyDescent="0.25"/>
    <row r="146" s="34" customFormat="1" x14ac:dyDescent="0.25"/>
    <row r="147" s="34" customFormat="1" x14ac:dyDescent="0.25"/>
    <row r="148" s="34" customFormat="1" x14ac:dyDescent="0.25"/>
    <row r="149" s="34" customFormat="1" x14ac:dyDescent="0.25"/>
    <row r="150" s="34" customFormat="1" x14ac:dyDescent="0.25"/>
    <row r="151" s="34" customFormat="1" x14ac:dyDescent="0.25"/>
    <row r="152" s="34" customFormat="1" x14ac:dyDescent="0.25"/>
    <row r="153" s="34" customFormat="1" x14ac:dyDescent="0.25"/>
    <row r="154" s="34" customFormat="1" x14ac:dyDescent="0.25"/>
    <row r="155" s="34" customFormat="1" x14ac:dyDescent="0.25"/>
    <row r="156" s="34" customFormat="1" x14ac:dyDescent="0.25"/>
    <row r="157" s="34" customFormat="1" x14ac:dyDescent="0.25"/>
    <row r="158" s="34" customFormat="1" x14ac:dyDescent="0.25"/>
    <row r="159" s="34" customFormat="1" x14ac:dyDescent="0.25"/>
    <row r="160" s="34" customFormat="1" x14ac:dyDescent="0.25"/>
    <row r="161" s="34" customFormat="1" x14ac:dyDescent="0.25"/>
    <row r="162" s="34" customFormat="1" x14ac:dyDescent="0.25"/>
    <row r="163" s="34" customFormat="1" x14ac:dyDescent="0.25"/>
    <row r="164" s="34" customFormat="1" x14ac:dyDescent="0.25"/>
    <row r="165" s="34" customFormat="1" x14ac:dyDescent="0.25"/>
    <row r="166" s="34" customFormat="1" x14ac:dyDescent="0.25"/>
    <row r="167" s="34" customFormat="1" x14ac:dyDescent="0.25"/>
    <row r="168" s="34" customFormat="1" x14ac:dyDescent="0.25"/>
    <row r="169" s="34" customFormat="1" x14ac:dyDescent="0.25"/>
    <row r="170" s="34" customFormat="1" x14ac:dyDescent="0.25"/>
    <row r="171" s="34" customFormat="1" x14ac:dyDescent="0.25"/>
    <row r="172" s="34" customFormat="1" x14ac:dyDescent="0.25"/>
    <row r="173" s="34" customFormat="1" x14ac:dyDescent="0.25"/>
    <row r="174" s="34" customFormat="1" x14ac:dyDescent="0.25"/>
    <row r="175" s="34" customFormat="1" x14ac:dyDescent="0.25"/>
    <row r="176" s="34" customFormat="1" x14ac:dyDescent="0.25"/>
    <row r="177" s="34" customFormat="1" x14ac:dyDescent="0.25"/>
    <row r="178" s="34" customFormat="1" x14ac:dyDescent="0.25"/>
    <row r="179" s="34" customFormat="1" x14ac:dyDescent="0.25"/>
    <row r="180" s="34" customFormat="1" x14ac:dyDescent="0.25"/>
    <row r="181" s="34" customFormat="1" x14ac:dyDescent="0.25"/>
    <row r="182" s="34" customFormat="1" x14ac:dyDescent="0.25"/>
    <row r="183" s="34" customFormat="1" x14ac:dyDescent="0.25"/>
    <row r="184" s="34" customFormat="1" x14ac:dyDescent="0.25"/>
    <row r="185" s="34" customFormat="1" x14ac:dyDescent="0.25"/>
    <row r="186" s="34" customFormat="1" x14ac:dyDescent="0.25"/>
    <row r="187" s="34" customFormat="1" x14ac:dyDescent="0.25"/>
    <row r="188" s="34" customFormat="1" x14ac:dyDescent="0.25"/>
    <row r="189" s="34" customFormat="1" x14ac:dyDescent="0.25"/>
    <row r="190" s="34" customFormat="1" x14ac:dyDescent="0.25"/>
    <row r="191" s="34" customFormat="1" x14ac:dyDescent="0.25"/>
    <row r="192" s="34" customFormat="1" x14ac:dyDescent="0.25"/>
    <row r="193" s="34" customFormat="1" x14ac:dyDescent="0.25"/>
    <row r="194" s="34" customFormat="1" x14ac:dyDescent="0.25"/>
    <row r="195" s="34" customFormat="1" x14ac:dyDescent="0.25"/>
    <row r="196" s="34" customFormat="1" x14ac:dyDescent="0.25"/>
    <row r="197" s="34" customFormat="1" x14ac:dyDescent="0.25"/>
    <row r="198" s="34" customFormat="1" x14ac:dyDescent="0.25"/>
    <row r="199" s="34" customFormat="1" x14ac:dyDescent="0.25"/>
    <row r="200" s="34" customFormat="1" x14ac:dyDescent="0.25"/>
    <row r="201" s="34" customFormat="1" x14ac:dyDescent="0.25"/>
    <row r="202" s="34" customFormat="1" x14ac:dyDescent="0.25"/>
    <row r="203" s="34" customFormat="1" x14ac:dyDescent="0.25"/>
    <row r="204" s="34" customFormat="1" x14ac:dyDescent="0.25"/>
    <row r="205" s="34" customFormat="1" x14ac:dyDescent="0.25"/>
    <row r="206" s="34" customFormat="1" x14ac:dyDescent="0.25"/>
    <row r="207" s="34" customFormat="1" x14ac:dyDescent="0.25"/>
    <row r="208" s="34" customFormat="1" x14ac:dyDescent="0.25"/>
    <row r="209" s="34" customFormat="1" x14ac:dyDescent="0.25"/>
    <row r="210" s="34" customFormat="1" x14ac:dyDescent="0.25"/>
    <row r="211" s="34" customFormat="1" x14ac:dyDescent="0.25"/>
    <row r="212" s="34" customFormat="1" x14ac:dyDescent="0.25"/>
    <row r="213" s="34" customFormat="1" x14ac:dyDescent="0.25"/>
    <row r="214" s="34" customFormat="1" x14ac:dyDescent="0.25"/>
    <row r="215" s="34" customFormat="1" x14ac:dyDescent="0.25"/>
    <row r="216" s="34" customFormat="1" x14ac:dyDescent="0.25"/>
    <row r="217" s="34" customFormat="1" x14ac:dyDescent="0.25"/>
    <row r="218" s="34" customFormat="1" x14ac:dyDescent="0.25"/>
    <row r="219" s="34" customFormat="1" x14ac:dyDescent="0.25"/>
    <row r="220" s="34" customFormat="1" x14ac:dyDescent="0.25"/>
    <row r="221" s="34" customFormat="1" x14ac:dyDescent="0.25"/>
    <row r="222" s="34" customFormat="1" x14ac:dyDescent="0.25"/>
    <row r="223" s="34" customFormat="1" x14ac:dyDescent="0.25"/>
    <row r="224" s="34" customFormat="1" x14ac:dyDescent="0.25"/>
    <row r="225" s="34" customFormat="1" x14ac:dyDescent="0.25"/>
    <row r="226" s="34" customFormat="1" x14ac:dyDescent="0.25"/>
    <row r="227" s="34" customFormat="1" x14ac:dyDescent="0.25"/>
    <row r="228" s="34" customFormat="1" x14ac:dyDescent="0.25"/>
    <row r="229" s="34" customFormat="1" x14ac:dyDescent="0.25"/>
    <row r="230" s="34" customFormat="1" x14ac:dyDescent="0.25"/>
    <row r="231" s="34" customFormat="1" x14ac:dyDescent="0.25"/>
    <row r="232" s="34" customFormat="1" x14ac:dyDescent="0.25"/>
    <row r="233" s="34" customFormat="1" x14ac:dyDescent="0.25"/>
    <row r="234" s="34" customFormat="1" x14ac:dyDescent="0.25"/>
    <row r="235" s="34" customFormat="1" x14ac:dyDescent="0.25"/>
    <row r="236" s="34" customFormat="1" x14ac:dyDescent="0.25"/>
    <row r="237" s="34" customFormat="1" x14ac:dyDescent="0.25"/>
    <row r="238" s="34" customFormat="1" x14ac:dyDescent="0.25"/>
    <row r="239" s="34" customFormat="1" x14ac:dyDescent="0.25"/>
    <row r="240" s="34" customFormat="1" x14ac:dyDescent="0.25"/>
    <row r="241" s="34" customFormat="1" x14ac:dyDescent="0.25"/>
    <row r="242" s="34" customFormat="1" x14ac:dyDescent="0.25"/>
    <row r="243" s="34" customFormat="1" x14ac:dyDescent="0.25"/>
    <row r="244" s="34" customFormat="1" x14ac:dyDescent="0.25"/>
    <row r="245" s="34" customFormat="1" x14ac:dyDescent="0.25"/>
    <row r="246" s="34" customFormat="1" x14ac:dyDescent="0.25"/>
    <row r="247" s="34" customFormat="1" x14ac:dyDescent="0.25"/>
    <row r="248" s="34" customFormat="1" x14ac:dyDescent="0.25"/>
    <row r="249" s="34" customFormat="1" x14ac:dyDescent="0.25"/>
    <row r="250" s="34" customFormat="1" x14ac:dyDescent="0.25"/>
    <row r="251" s="34" customFormat="1" x14ac:dyDescent="0.25"/>
    <row r="252" s="34" customFormat="1" x14ac:dyDescent="0.25"/>
    <row r="253" s="34" customFormat="1" x14ac:dyDescent="0.25"/>
    <row r="254" s="34" customFormat="1" x14ac:dyDescent="0.25"/>
    <row r="255" s="34" customFormat="1" x14ac:dyDescent="0.25"/>
    <row r="256" s="34" customFormat="1" x14ac:dyDescent="0.25"/>
    <row r="257" s="34" customFormat="1" x14ac:dyDescent="0.25"/>
    <row r="258" s="34" customFormat="1" x14ac:dyDescent="0.25"/>
    <row r="259" s="34" customFormat="1" x14ac:dyDescent="0.25"/>
    <row r="260" s="34" customFormat="1" x14ac:dyDescent="0.25"/>
    <row r="261" s="34" customFormat="1" x14ac:dyDescent="0.25"/>
    <row r="262" s="34" customFormat="1" x14ac:dyDescent="0.25"/>
    <row r="263" s="34" customFormat="1" x14ac:dyDescent="0.25"/>
    <row r="264" s="34" customFormat="1" x14ac:dyDescent="0.25"/>
    <row r="265" s="34" customFormat="1" x14ac:dyDescent="0.25"/>
    <row r="266" s="34" customFormat="1" x14ac:dyDescent="0.25"/>
    <row r="267" s="34" customFormat="1" x14ac:dyDescent="0.25"/>
    <row r="268" s="34" customFormat="1" x14ac:dyDescent="0.25"/>
    <row r="269" s="34" customFormat="1" x14ac:dyDescent="0.25"/>
    <row r="270" s="34" customFormat="1" x14ac:dyDescent="0.25"/>
    <row r="271" s="34" customFormat="1" x14ac:dyDescent="0.25"/>
    <row r="272" s="34" customFormat="1" x14ac:dyDescent="0.25"/>
    <row r="273" s="34" customFormat="1" x14ac:dyDescent="0.25"/>
    <row r="274" s="34" customFormat="1" x14ac:dyDescent="0.25"/>
    <row r="275" s="34" customFormat="1" x14ac:dyDescent="0.25"/>
    <row r="276" s="34" customFormat="1" x14ac:dyDescent="0.25"/>
    <row r="277" s="34" customFormat="1" x14ac:dyDescent="0.25"/>
    <row r="278" s="34" customFormat="1" x14ac:dyDescent="0.25"/>
    <row r="279" s="34" customFormat="1" x14ac:dyDescent="0.25"/>
    <row r="280" s="34" customFormat="1" x14ac:dyDescent="0.25"/>
    <row r="281" s="34" customFormat="1" x14ac:dyDescent="0.25"/>
    <row r="282" s="34" customFormat="1" x14ac:dyDescent="0.25"/>
    <row r="283" s="34" customFormat="1" x14ac:dyDescent="0.25"/>
    <row r="284" s="34" customFormat="1" x14ac:dyDescent="0.25"/>
    <row r="285" s="34" customFormat="1" x14ac:dyDescent="0.25"/>
    <row r="286" s="34" customFormat="1" x14ac:dyDescent="0.25"/>
    <row r="287" s="34" customFormat="1" x14ac:dyDescent="0.25"/>
    <row r="288" s="34" customFormat="1" x14ac:dyDescent="0.25"/>
    <row r="289" s="34" customFormat="1" x14ac:dyDescent="0.25"/>
    <row r="290" s="34" customFormat="1" x14ac:dyDescent="0.25"/>
    <row r="291" s="34" customFormat="1" x14ac:dyDescent="0.25"/>
    <row r="292" s="34" customFormat="1" x14ac:dyDescent="0.25"/>
    <row r="293" s="34" customFormat="1" x14ac:dyDescent="0.25"/>
    <row r="294" s="34" customFormat="1" x14ac:dyDescent="0.25"/>
    <row r="295" s="34" customFormat="1" x14ac:dyDescent="0.25"/>
    <row r="296" s="34" customFormat="1" x14ac:dyDescent="0.25"/>
    <row r="297" s="34" customFormat="1" x14ac:dyDescent="0.25"/>
    <row r="298" s="34" customFormat="1" x14ac:dyDescent="0.25"/>
    <row r="299" s="34" customFormat="1" x14ac:dyDescent="0.25"/>
    <row r="300" s="34" customFormat="1" x14ac:dyDescent="0.25"/>
    <row r="301" s="34" customFormat="1" x14ac:dyDescent="0.25"/>
    <row r="302" s="34" customFormat="1" x14ac:dyDescent="0.25"/>
    <row r="303" s="34" customFormat="1" x14ac:dyDescent="0.25"/>
    <row r="304" s="34" customFormat="1" x14ac:dyDescent="0.25"/>
    <row r="305" s="34" customFormat="1" x14ac:dyDescent="0.25"/>
    <row r="306" s="34" customFormat="1" x14ac:dyDescent="0.25"/>
    <row r="307" s="34" customFormat="1" x14ac:dyDescent="0.25"/>
    <row r="308" s="34" customFormat="1" x14ac:dyDescent="0.25"/>
    <row r="309" s="34" customFormat="1" x14ac:dyDescent="0.25"/>
    <row r="310" s="34" customFormat="1" x14ac:dyDescent="0.25"/>
    <row r="311" s="34" customFormat="1" x14ac:dyDescent="0.25"/>
    <row r="312" s="34" customFormat="1" x14ac:dyDescent="0.25"/>
    <row r="313" s="34" customFormat="1" x14ac:dyDescent="0.25"/>
    <row r="314" s="34" customFormat="1" x14ac:dyDescent="0.25"/>
    <row r="315" s="34" customFormat="1" x14ac:dyDescent="0.25"/>
    <row r="316" s="34" customFormat="1" x14ac:dyDescent="0.25"/>
    <row r="317" s="34" customFormat="1" x14ac:dyDescent="0.25"/>
    <row r="318" s="34" customFormat="1" x14ac:dyDescent="0.25"/>
    <row r="319" s="34" customFormat="1" x14ac:dyDescent="0.25"/>
  </sheetData>
  <conditionalFormatting sqref="B3:B10">
    <cfRule type="cellIs" dxfId="10" priority="2" operator="equal">
      <formula>$B$9</formula>
    </cfRule>
    <cfRule type="cellIs" dxfId="9" priority="3" operator="equal">
      <formula>$B$8</formula>
    </cfRule>
    <cfRule type="cellIs" dxfId="8" priority="4" operator="equal">
      <formula>$B$7</formula>
    </cfRule>
    <cfRule type="cellIs" dxfId="7" priority="5" operator="equal">
      <formula>$B$6</formula>
    </cfRule>
    <cfRule type="cellIs" dxfId="6" priority="6" operator="equal">
      <formula>$B$5</formula>
    </cfRule>
    <cfRule type="cellIs" dxfId="5" priority="7" operator="equal">
      <formula>$B$4</formula>
    </cfRule>
    <cfRule type="cellIs" dxfId="4" priority="8" operator="equal">
      <formula>$B$3</formula>
    </cfRule>
    <cfRule type="containsText" dxfId="3" priority="9" operator="containsText" text="Initial">
      <formula>NOT(ISERROR(SEARCH("Initial",B3)))</formula>
    </cfRule>
    <cfRule type="containsText" dxfId="2" priority="10" operator="containsText" text="Nonexistent">
      <formula>NOT(ISERROR(SEARCH("Nonexistent",B3)))</formula>
    </cfRule>
    <cfRule type="expression" dxfId="1" priority="11" stopIfTrue="1">
      <formula>_xludf.STYLE(VLOOKUP(B3,#REF!,2,0))</formula>
    </cfRule>
  </conditionalFormatting>
  <conditionalFormatting sqref="B10">
    <cfRule type="cellIs" dxfId="0" priority="1" operator="equal">
      <formula>$B$10</formula>
    </cfRule>
  </conditionalFormatting>
  <dataValidations disablePrompts="1" count="1">
    <dataValidation operator="equal" allowBlank="1" showInputMessage="1" showErrorMessage="1" promptTitle="Select Control Scope" sqref="B3" xr:uid="{00000000-0002-0000-0300-000000000000}">
      <formula1>0</formula1>
      <formula2>0</formula2>
    </dataValidation>
  </dataValidations>
  <pageMargins left="0.7" right="0.7" top="0.75" bottom="0.75" header="0.3" footer="0.3"/>
  <pageSetup paperSize="9" scale="54" orientation="portrait" verticalDpi="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12</vt:i4>
      </vt:variant>
    </vt:vector>
  </HeadingPairs>
  <TitlesOfParts>
    <vt:vector size="15" baseType="lpstr">
      <vt:lpstr>Mandatory ISMS requirements</vt:lpstr>
      <vt:lpstr>Annex A controls</vt:lpstr>
      <vt:lpstr>Metrics</vt:lpstr>
      <vt:lpstr>'Annex A controls'!__xlnm._FilterDatabase</vt:lpstr>
      <vt:lpstr>__xlnm._FilterDatabase_1</vt:lpstr>
      <vt:lpstr>'Annex A controls'!__xlnm.Print_Titles</vt:lpstr>
      <vt:lpstr>Applicability</vt:lpstr>
      <vt:lpstr>'Annex A controls'!Area_stampa</vt:lpstr>
      <vt:lpstr>'Mandatory ISMS requirements'!Area_stampa</vt:lpstr>
      <vt:lpstr>Metrics!Area_stampa</vt:lpstr>
      <vt:lpstr>ControlTotal</vt:lpstr>
      <vt:lpstr>'Mandatory ISMS requirements'!Excel_BuiltIn_Print_Area</vt:lpstr>
      <vt:lpstr>'Annex A controls'!Excel_BuiltIn_Print_Titles</vt:lpstr>
      <vt:lpstr>'Annex A controls'!Titoli_stampa</vt:lpstr>
      <vt:lpstr>'Mandatory ISMS requirements'!Titoli_stampa</vt:lpstr>
    </vt:vector>
  </TitlesOfParts>
  <LinksUpToDate>false</LinksUpToDate>
  <SharedDoc>false</SharedDoc>
  <HyperlinkBase>www.ISO27001security.com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ISMS status and SoA</dc:title>
  <dc:subject>Information Security Management</dc:subject>
  <dc:creator>Gary@isect.com</dc:creator>
  <cp:keywords>ISO27k, ISMS</cp:keywords>
  <dc:description>Copyright © 2014 ISO27k Forum  See the embedded copyright notice</dc:description>
  <cp:lastModifiedBy>alessio di lonardo</cp:lastModifiedBy>
  <cp:lastPrinted>2024-07-04T10:31:02Z</cp:lastPrinted>
  <dcterms:created xsi:type="dcterms:W3CDTF">2014-03-11T21:40:57Z</dcterms:created>
  <dcterms:modified xsi:type="dcterms:W3CDTF">2026-01-18T14:14:39Z</dcterms:modified>
  <cp:contentStatus>Part of the FREE ISO27k Toolkit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6115d7e-b42c-4cb0-9d5d-d9d427f162d6_Enabled">
    <vt:lpwstr>true</vt:lpwstr>
  </property>
  <property fmtid="{D5CDD505-2E9C-101B-9397-08002B2CF9AE}" pid="3" name="MSIP_Label_b6115d7e-b42c-4cb0-9d5d-d9d427f162d6_SetDate">
    <vt:lpwstr>2022-09-11T09:19:33Z</vt:lpwstr>
  </property>
  <property fmtid="{D5CDD505-2E9C-101B-9397-08002B2CF9AE}" pid="4" name="MSIP_Label_b6115d7e-b42c-4cb0-9d5d-d9d427f162d6_Method">
    <vt:lpwstr>Standard</vt:lpwstr>
  </property>
  <property fmtid="{D5CDD505-2E9C-101B-9397-08002B2CF9AE}" pid="5" name="MSIP_Label_b6115d7e-b42c-4cb0-9d5d-d9d427f162d6_Name">
    <vt:lpwstr>Public</vt:lpwstr>
  </property>
  <property fmtid="{D5CDD505-2E9C-101B-9397-08002B2CF9AE}" pid="6" name="MSIP_Label_b6115d7e-b42c-4cb0-9d5d-d9d427f162d6_SiteId">
    <vt:lpwstr>b3df40eb-c945-4bc1-8821-0b8d9b63b14a</vt:lpwstr>
  </property>
  <property fmtid="{D5CDD505-2E9C-101B-9397-08002B2CF9AE}" pid="7" name="MSIP_Label_b6115d7e-b42c-4cb0-9d5d-d9d427f162d6_ActionId">
    <vt:lpwstr>c92806bd-9e9f-4b66-a767-d3bb61c7171b</vt:lpwstr>
  </property>
  <property fmtid="{D5CDD505-2E9C-101B-9397-08002B2CF9AE}" pid="8" name="MSIP_Label_b6115d7e-b42c-4cb0-9d5d-d9d427f162d6_ContentBits">
    <vt:lpwstr>0</vt:lpwstr>
  </property>
</Properties>
</file>